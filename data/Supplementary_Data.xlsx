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Table S1 within-depth" sheetId="2" r:id="rId6"/>
    <sheet state="visible" name="Table S2 supporting" sheetId="3" r:id="rId7"/>
    <sheet state="visible" name="Figure values" sheetId="4" r:id="rId8"/>
    <sheet state="visible" name="Sample data" sheetId="5" r:id="rId9"/>
    <sheet state="visible" name="Data dictionary" sheetId="6" r:id="rId10"/>
    <sheet state="visible" name="Provenance" sheetId="7" r:id="rId11"/>
    <sheet state="visible" name="Observed root profiles" sheetId="8" r:id="rId12"/>
    <sheet state="visible" name="Observed stock profiles" sheetId="9" r:id="rId13"/>
    <sheet name="Endpoint Welch" sheetId="10" r:id="rId14"/>
  </sheets>
  <definedNames/>
  <calcPr/>
</workbook>
</file>

<file path=xl/sharedStrings.xml><?xml version="1.0" encoding="utf-8"?>
<sst xmlns="http://schemas.openxmlformats.org/spreadsheetml/2006/main" count="4405" uniqueCount="574">
  <si>
    <t>Farming Carbon supplementary data</t>
  </si>
  <si>
    <t>Contents</t>
  </si>
  <si>
    <t>Figure S1 is provided in the companion document, Farming Carbon - Supplemental Material.docx. This workbook contains Tables S1-S2, model-based values for the four main responses, the complete 111-row sample table, variable definitions, and source hashes.</t>
  </si>
  <si>
    <t>C concentration</t>
  </si>
  <si>
    <t>C concentration is restored as a main response in panel (b) of Figures 2 to 4 and in Table 1. Its within-depth tests and model-based figure values are retained here. Raw c_percent is also required to calculate C stocks.</t>
  </si>
  <si>
    <t>Table S1</t>
  </si>
  <si>
    <t>120 within-depth results: 100 pairwise contrasts plus 20 hedgerow joint tests. P values are unadjusted as reported in the manuscript.</t>
  </si>
  <si>
    <t>Table S2</t>
  </si>
  <si>
    <t>Type III Wald tests for C concentration and bulk density. C-concentration rows duplicate the main Table 1 values so the statistical backing remains complete in one workbook.</t>
  </si>
  <si>
    <t>Figure values</t>
  </si>
  <si>
    <t>Response-scale estimated marginal means and one model-based SE for Figures 2 to 4. Figure 2a reports recovered root mass density (mg cm^-3), modeled as 1000*(root_weight_g+0.00017)/volume_cm3 with the agreed Gamma interaction model. For display, 1000*0.00017/volume_cm3 was subtracted from each fitted mean; SEs were unchanged. Annual-root ratios in Table S1 concern the adjusted modeled response. Other Figure 2 panels are unchanged. Figure 3a and 4a rows still contain historical mass outputs and require a separate update.</t>
  </si>
  <si>
    <t>Sample data</t>
  </si>
  <si>
    <t>All 111 sample rows for the 21 cores selected for radiocarbon analysis. The analysis_included field identifies the 105 included rows and the six orchard 75-100 cm rows excluded from the common 0-75 cm orchard analysis.</t>
  </si>
  <si>
    <t>Provenance</t>
  </si>
  <si>
    <t>The Provenance sheet records source filenames, roles, file sizes, and SHA-256 checksums. Raw files, model outputs, and code are not part of this two-file journal supplement.</t>
  </si>
  <si>
    <t>Design limit</t>
  </si>
  <si>
    <t>Each management category is represented by one field or field-margin location. The three cores characterize within-location variation and are not independent field-level replicates.</t>
  </si>
  <si>
    <t>Truncated cores</t>
  </si>
  <si>
    <t>Two 10-year hedgerow profiles ended at 86 and 88 cm. The thickness of each actual sampled depth interval is retained in depth_total_cm and stock calculations.</t>
  </si>
  <si>
    <t>Root correction</t>
  </si>
  <si>
    <t>Sample 143 root_weight is 0.0086 g. The source subtraction produced an impossible negative value; root_weight_raw retains that source value and root_weight retains the nonnegative value used in analysis.</t>
  </si>
  <si>
    <t>Analysis date</t>
  </si>
  <si>
    <t>2026-08-05 (original analysis); 2026-10-15 (Figure 2a normalized root means, SEs and annual-root Table S1 contrasts)</t>
  </si>
  <si>
    <t>system</t>
  </si>
  <si>
    <t>response</t>
  </si>
  <si>
    <t>response_label</t>
  </si>
  <si>
    <t>reporting_role</t>
  </si>
  <si>
    <t>model_family</t>
  </si>
  <si>
    <t>term</t>
  </si>
  <si>
    <t>figure_panel</t>
  </si>
  <si>
    <t>depth_cm</t>
  </si>
  <si>
    <t>statistic</t>
  </si>
  <si>
    <t>test_type</t>
  </si>
  <si>
    <t>df</t>
  </si>
  <si>
    <t>p_value</t>
  </si>
  <si>
    <t>management</t>
  </si>
  <si>
    <t>contrast</t>
  </si>
  <si>
    <t>p_display</t>
  </si>
  <si>
    <t>effect_scale</t>
  </si>
  <si>
    <t>estimate_model_response_scale</t>
  </si>
  <si>
    <t>effect</t>
  </si>
  <si>
    <t>model_se</t>
  </si>
  <si>
    <t>symbol</t>
  </si>
  <si>
    <t>lower_one_se_model_response_scale</t>
  </si>
  <si>
    <t>lower_95</t>
  </si>
  <si>
    <t>annual vegetables</t>
  </si>
  <si>
    <t>upper_one_se_model_response_scale</t>
  </si>
  <si>
    <t>upper_95</t>
  </si>
  <si>
    <t>display_estimate</t>
  </si>
  <si>
    <t>c_percent</t>
  </si>
  <si>
    <t>df1</t>
  </si>
  <si>
    <t>df2</t>
  </si>
  <si>
    <t>display_lower_one_se</t>
  </si>
  <si>
    <t>primary main-text response</t>
  </si>
  <si>
    <t>display_upper_one_se</t>
  </si>
  <si>
    <t>Gamma(log)</t>
  </si>
  <si>
    <t>Depth</t>
  </si>
  <si>
    <t>root_display_correction_g</t>
  </si>
  <si>
    <t>&lt;0.001</t>
  </si>
  <si>
    <t>root_density_offset_mg_cm3</t>
  </si>
  <si>
    <t>adjustment</t>
  </si>
  <si>
    <t>***</t>
  </si>
  <si>
    <t>supports_figure_symbol</t>
  </si>
  <si>
    <t>Recovered root mass density (mg cm⁻³)</t>
  </si>
  <si>
    <t>Figure 2a</t>
  </si>
  <si>
    <t>Management</t>
  </si>
  <si>
    <t>monoculture</t>
  </si>
  <si>
    <t>0-10</t>
  </si>
  <si>
    <t>0.042</t>
  </si>
  <si>
    <t>*</t>
  </si>
  <si>
    <t>Depth × Management</t>
  </si>
  <si>
    <t>0.213</t>
  </si>
  <si>
    <t>bulk_density</t>
  </si>
  <si>
    <t>Bulk density</t>
  </si>
  <si>
    <t>supporting stock calculation</t>
  </si>
  <si>
    <t>Gaussian(identity)</t>
  </si>
  <si>
    <t>0.015</t>
  </si>
  <si>
    <t>0.899</t>
  </si>
  <si>
    <t>0.629</t>
  </si>
  <si>
    <t>orchards</t>
  </si>
  <si>
    <t>project_id</t>
  </si>
  <si>
    <t>sample_id</t>
  </si>
  <si>
    <t>site_number</t>
  </si>
  <si>
    <t>site_name</t>
  </si>
  <si>
    <t>management_type</t>
  </si>
  <si>
    <t>years_in_management</t>
  </si>
  <si>
    <t>sampling_point</t>
  </si>
  <si>
    <t>transect</t>
  </si>
  <si>
    <t>core_id</t>
  </si>
  <si>
    <t>core_type</t>
  </si>
  <si>
    <t>increment_number</t>
  </si>
  <si>
    <t>0.007</t>
  </si>
  <si>
    <t>**</t>
  </si>
  <si>
    <t>sample_code</t>
  </si>
  <si>
    <t>depth_top</t>
  </si>
  <si>
    <t>depth_bottom</t>
  </si>
  <si>
    <t>depth_mid</t>
  </si>
  <si>
    <t>del14c</t>
  </si>
  <si>
    <t>n_percent</t>
  </si>
  <si>
    <t>soil_water_g</t>
  </si>
  <si>
    <t>gwc</t>
  </si>
  <si>
    <t>0.014</t>
  </si>
  <si>
    <t>total_dry_soil_g</t>
  </si>
  <si>
    <t>depth_total_cm</t>
  </si>
  <si>
    <t>volume_cm3</t>
  </si>
  <si>
    <t>root_weight_raw</t>
  </si>
  <si>
    <t>root_weight</t>
  </si>
  <si>
    <t>core_deficit</t>
  </si>
  <si>
    <t>nominal_depth_top_cm</t>
  </si>
  <si>
    <t>nominal_depth_bottom_cm</t>
  </si>
  <si>
    <t>recovered_depth_cm</t>
  </si>
  <si>
    <t>effective_depth_bottom_cm</t>
  </si>
  <si>
    <t>layer_c_stock</t>
  </si>
  <si>
    <t>0.095</t>
  </si>
  <si>
    <t>site_type</t>
  </si>
  <si>
    <t>†</t>
  </si>
  <si>
    <t>core</t>
  </si>
  <si>
    <t>cumulative_c_stock</t>
  </si>
  <si>
    <t>analysis_included</t>
  </si>
  <si>
    <t>exclusion_reason</t>
  </si>
  <si>
    <t>CD</t>
  </si>
  <si>
    <t>0.929</t>
  </si>
  <si>
    <t>IKON</t>
  </si>
  <si>
    <t>0m</t>
  </si>
  <si>
    <t>A</t>
  </si>
  <si>
    <t>14C</t>
  </si>
  <si>
    <t>1_IKON_1_A1</t>
  </si>
  <si>
    <t>0.254</t>
  </si>
  <si>
    <t>hedgerows</t>
  </si>
  <si>
    <t>pairwise contrast</t>
  </si>
  <si>
    <t>monoculture / polyculture</t>
  </si>
  <si>
    <t>ratio</t>
  </si>
  <si>
    <t>polyculture</t>
  </si>
  <si>
    <t/>
  </si>
  <si>
    <t>IKON.1</t>
  </si>
  <si>
    <t>yes</t>
  </si>
  <si>
    <t>0.509</t>
  </si>
  <si>
    <t>none</t>
  </si>
  <si>
    <t>10-20</t>
  </si>
  <si>
    <t>2_IKON_1_A2</t>
  </si>
  <si>
    <t>0.320</t>
  </si>
  <si>
    <t>0.724</t>
  </si>
  <si>
    <t>20-30</t>
  </si>
  <si>
    <t>3_IKON_1_A3</t>
  </si>
  <si>
    <t>0.326</t>
  </si>
  <si>
    <t>30-40</t>
  </si>
  <si>
    <t>0.274</t>
  </si>
  <si>
    <t>4_IKON_1_A4</t>
  </si>
  <si>
    <t>40-50</t>
  </si>
  <si>
    <t>0.002</t>
  </si>
  <si>
    <t>5_IKON_1_A5</t>
  </si>
  <si>
    <t>50-100</t>
  </si>
  <si>
    <t>variable</t>
  </si>
  <si>
    <t>definition</t>
  </si>
  <si>
    <t>units</t>
  </si>
  <si>
    <t>role</t>
  </si>
  <si>
    <t>0.998</t>
  </si>
  <si>
    <t>Project or system code from the source metadata.</t>
  </si>
  <si>
    <t>text</t>
  </si>
  <si>
    <t>identifier</t>
  </si>
  <si>
    <t>Unique numerical analytical sample identifier.</t>
  </si>
  <si>
    <t>integer</t>
  </si>
  <si>
    <t>Cumulative C stock</t>
  </si>
  <si>
    <t>Source site number.</t>
  </si>
  <si>
    <t>Source site label: IKON, LAHE, MAS1, MAS2, HRDY1, HRDY2, or HRDY3.</t>
  </si>
  <si>
    <t>Management label from the source metadata.</t>
  </si>
  <si>
    <t>design</t>
  </si>
  <si>
    <t>Source metadata value: management duration, hedgerow establishment year, or control label.</t>
  </si>
  <si>
    <t>6_IKON_1_A6</t>
  </si>
  <si>
    <t>years or text</t>
  </si>
  <si>
    <t>0.004</t>
  </si>
  <si>
    <t>Sampling-point identifier within the management category.</t>
  </si>
  <si>
    <t>Transect position label from the source metadata.</t>
  </si>
  <si>
    <t>Core identifier from the source metadata.</t>
  </si>
  <si>
    <t>Core type recorded in the metadata.</t>
  </si>
  <si>
    <t>Figure 2c</t>
  </si>
  <si>
    <t>Ordinal depth increment within a core.</t>
  </si>
  <si>
    <t>Nominal depth interval used as the model factor.</t>
  </si>
  <si>
    <t>cm interval</t>
  </si>
  <si>
    <t>0.001</t>
  </si>
  <si>
    <t>Composite sample code from the source radiocarbon table.</t>
  </si>
  <si>
    <t>Top depth reported in the radiocarbon source table.</t>
  </si>
  <si>
    <t>cm</t>
  </si>
  <si>
    <t>source measurement</t>
  </si>
  <si>
    <t>50m</t>
  </si>
  <si>
    <t>Bottom depth reported in the radiocarbon source table.</t>
  </si>
  <si>
    <t>Midpoint depth reported in the radiocarbon source table.</t>
  </si>
  <si>
    <t>13_IKON_3_A1</t>
  </si>
  <si>
    <t>Bulk-soil radiocarbon value.</t>
  </si>
  <si>
    <t>per mil</t>
  </si>
  <si>
    <t>Total carbon concentration by dry soil mass. Modeled as a main response and used to calculate C stocks.</t>
  </si>
  <si>
    <t>0.024</t>
  </si>
  <si>
    <t>%</t>
  </si>
  <si>
    <t>primary response and derivation input</t>
  </si>
  <si>
    <t>Total nitrogen concentration by dry soil mass.</t>
  </si>
  <si>
    <t>measurement</t>
  </si>
  <si>
    <t>Water mass calculated from wet and dry tin measurements.</t>
  </si>
  <si>
    <t>g</t>
  </si>
  <si>
    <t>derivation input</t>
  </si>
  <si>
    <t>IKON.3</t>
  </si>
  <si>
    <t>Gravimetric water content.</t>
  </si>
  <si>
    <t>g water per g dry soil</t>
  </si>
  <si>
    <t>Estimated dry soil mass for the full core increment.</t>
  </si>
  <si>
    <t>Thickness of the actual sampled depth interval used for volume, bulk-density, and stock calculations.</t>
  </si>
  <si>
    <t>0.067</t>
  </si>
  <si>
    <t>derived</t>
  </si>
  <si>
    <t>Sampled cylinder volume calculated from the thickness of the actual sampled depth interval and a 1.905 cm radius.</t>
  </si>
  <si>
    <t>cm^3</t>
  </si>
  <si>
    <t>Root-mass value imported from the laboratory sheet before the documented sample 143 correction.</t>
  </si>
  <si>
    <t>14_IKON_3_A2</t>
  </si>
  <si>
    <t>Recovered root dry mass per increment after the documented sample 143 correction.</t>
  </si>
  <si>
    <t>Recorded hole depth minus the 100 cm target when hole depth was less than 100 cm; zero otherwise.</t>
  </si>
  <si>
    <t>0.026</t>
  </si>
  <si>
    <t>Numeric top of the nominal depth interval.</t>
  </si>
  <si>
    <t>Numeric bottom of the nominal depth interval.</t>
  </si>
  <si>
    <t>Effective sampled profile depth, set to recorded hole depth when below 100 cm and to 100 cm otherwise.</t>
  </si>
  <si>
    <t>Smaller of the nominal interval bottom and effective sampled profile depth.</t>
  </si>
  <si>
    <t>Dry soil mass divided by sampled cylinder volume.</t>
  </si>
  <si>
    <t>g cm^-3</t>
  </si>
  <si>
    <t>supporting response and stock input</t>
  </si>
  <si>
    <t>Calculated as c_percent multiplied by bulk_density and the thickness of the actual sampled depth interval.</t>
  </si>
  <si>
    <t>t C ha^-1</t>
  </si>
  <si>
    <t>Analysis management category derived from site_name.</t>
  </si>
  <si>
    <t>Within-system comparison: annual vegetables, orchards, or hedgerows.</t>
  </si>
  <si>
    <t>15_IKON_3_A3</t>
  </si>
  <si>
    <t>Repeated-measures core identifier formed from site_name and sampling_point.</t>
  </si>
  <si>
    <t>random-effect identifier</t>
  </si>
  <si>
    <t>0.008</t>
  </si>
  <si>
    <t>Running sum of layer_c_stock within each analyzed core. Blank for excluded rows.</t>
  </si>
  <si>
    <t>primary response</t>
  </si>
  <si>
    <t>Yes for the 105 modeled rows and no for the six excluded orchard 75-100 cm rows.</t>
  </si>
  <si>
    <t>yes/no</t>
  </si>
  <si>
    <t>analysis scope</t>
  </si>
  <si>
    <t>Reason a row was excluded from the common-depth orchard analysis.</t>
  </si>
  <si>
    <t>Δ¹⁴C</t>
  </si>
  <si>
    <t>monoculture - polyculture</t>
  </si>
  <si>
    <t>estimate</t>
  </si>
  <si>
    <t>0.512</t>
  </si>
  <si>
    <t>16_IKON_3_A4</t>
  </si>
  <si>
    <t>Modeled annual-root response: 1000*(root_weight_g+0.00017)/volume_cm3, where root_weight_g is recovered dry root mass in g and volume_cm3 is sampled soil volume.</t>
  </si>
  <si>
    <t>mg cm^-3</t>
  </si>
  <si>
    <t>Figure values and Table S1 within-depth, annual roots</t>
  </si>
  <si>
    <t>annual_root_display_estimate</t>
  </si>
  <si>
    <t>Adjusted fitted mean minus 1000*0.00017/volume_cm3. Subtracting this fixed addition leaves the model SE unchanged.</t>
  </si>
  <si>
    <t>Figure 2a display</t>
  </si>
  <si>
    <t>annual_root_pairwise_ratio</t>
  </si>
  <si>
    <t>Ratio of adjusted fitted means with 95% Wald confidence limits. At 40-50 cm all three monoculture masses were zero, so the ratio depends on the addition and is not a biological fold change.</t>
  </si>
  <si>
    <t>Table S1 within-depth, annual roots</t>
  </si>
  <si>
    <t>annual_root_model_se</t>
  </si>
  <si>
    <t>Response-scale model SE for fixed-effects fitted means with the core random intercept set to zero. Error bars show plus/minus one SE, not confidence intervals.</t>
  </si>
  <si>
    <t>Figure 2a uncertainty</t>
  </si>
  <si>
    <t>0.668</t>
  </si>
  <si>
    <t>17_IKON_3_A5</t>
  </si>
  <si>
    <t>Figure 2d</t>
  </si>
  <si>
    <t>0.620</t>
  </si>
  <si>
    <t>18_IKON_3_A6</t>
  </si>
  <si>
    <t>0.425</t>
  </si>
  <si>
    <t>0.132</t>
  </si>
  <si>
    <t>category</t>
  </si>
  <si>
    <t>100m</t>
  </si>
  <si>
    <t>file</t>
  </si>
  <si>
    <t>sha256</t>
  </si>
  <si>
    <t>bytes</t>
  </si>
  <si>
    <t>25_IKON_5_A1</t>
  </si>
  <si>
    <t>raw measurement source</t>
  </si>
  <si>
    <t>metadata - final.xlsx</t>
  </si>
  <si>
    <t>bc8edfc7a26e6bb9670115edcd2203bcb93a9e6bb7237647d129b4657b5b3727</t>
  </si>
  <si>
    <t>Direct input to the cleaned sample-level data.</t>
  </si>
  <si>
    <t>0.101</t>
  </si>
  <si>
    <t>metadata - hedgerows - final.xlsx</t>
  </si>
  <si>
    <t>94cd67c9adf6e83ff7ce78f40368eb9b52345349340af52251e416863e8bfad1</t>
  </si>
  <si>
    <t>soil moisture - Fresno.xlsx</t>
  </si>
  <si>
    <t>b7fe217c26c0448d19ce746d9c5b5dd5ae122d992b853b8cba64ca4feeea6ffa</t>
  </si>
  <si>
    <t>IKON.5</t>
  </si>
  <si>
    <t>soil moisture - hedgerows.xlsx</t>
  </si>
  <si>
    <t>e2b24af03efee790f1916523602dcbf7600bcce42c3fc411a648a8c206a25202</t>
  </si>
  <si>
    <t>HRDY_21Nov2024.xlsx</t>
  </si>
  <si>
    <t>c4954a619c068dcd46975dfb82378010e780247a03f3bc8c69dbd8799c7b007e</t>
  </si>
  <si>
    <t>0.063</t>
  </si>
  <si>
    <t>IKON-LAHE_21Nov_2024.xlsx</t>
  </si>
  <si>
    <t>fa1f7d34be63f12ca0dd8f7775ab5ced400b66cdae2ee7fcb49f6197fceb02bd</t>
  </si>
  <si>
    <t>26_IKON_5_A2</t>
  </si>
  <si>
    <t>MAS_21Nov_2024.xlsx</t>
  </si>
  <si>
    <t>75558bcba951301bc38b6b93b24d02aea5a062cf3aa9172fb1c5b888f3804333</t>
  </si>
  <si>
    <t>depth increments.xlsx</t>
  </si>
  <si>
    <t>430d8d3b9a55598271b20663d3f5a97c561095cff04f06f14b3610532d597946</t>
  </si>
  <si>
    <t>core measurements copy.xlsx</t>
  </si>
  <si>
    <t>2b0efb6568126d0f2ca822eb2c80c371fc2a6705bec1ab4500c50eaf152214c7</t>
  </si>
  <si>
    <t>0.093</t>
  </si>
  <si>
    <t>core measurements - hedgerows.xlsx</t>
  </si>
  <si>
    <t>81eb8194908d980783934fefae37efdccf8162a86321c3693f71d3d82f3742fb</t>
  </si>
  <si>
    <t>Envelope Weight - Fresno.xlsx</t>
  </si>
  <si>
    <t>37504418d0045a0f5e3e2395f1249ade05aa6c8ade1a3e1c6da2a536e3309f68</t>
  </si>
  <si>
    <t>Davis - Root Envelope.xlsx</t>
  </si>
  <si>
    <t>409c495c921b9962571f198860f3c324402c2c374a90049fbca4d222aedfc892</t>
  </si>
  <si>
    <t>27_IKON_5_A3</t>
  </si>
  <si>
    <t>processed data</t>
  </si>
  <si>
    <t>sample_level_full_111.csv</t>
  </si>
  <si>
    <t>0.867</t>
  </si>
  <si>
    <t>a1f244132013722abbd0ddd0b99e0f23f2ac72629564e8079d3d9bc7701d7cd5</t>
  </si>
  <si>
    <t>Canonical 111-row sample collection table.</t>
  </si>
  <si>
    <t>analysis data</t>
  </si>
  <si>
    <t>sample_level_analysis_105.csv</t>
  </si>
  <si>
    <t>f5baad2fa29a51b4bc6ea751bf9687151aac38f494075415ec72b3effe30d706</t>
  </si>
  <si>
    <t>Exact 105-row table used in the response models.</t>
  </si>
  <si>
    <t>model output</t>
  </si>
  <si>
    <t>aidee_corrected_omnibus.csv</t>
  </si>
  <si>
    <t>e0a3a08c7ab26d25e24ae3f4dfeadf7a15806ade724c14a625b3f3d972988850</t>
  </si>
  <si>
    <t>Selected Type III Wald output for all modeled responses; C concentration is restored to main Table 1.</t>
  </si>
  <si>
    <t>aidee_corrected_pairwise_contrasts.csv</t>
  </si>
  <si>
    <t>4c205b0bc5f721d309441e340fb0e33ff36acb91e8533f1547890c600d1a0a47</t>
  </si>
  <si>
    <t>0.794</t>
  </si>
  <si>
    <t>Selected unadjusted pairwise contrasts for all modeled responses.</t>
  </si>
  <si>
    <t>aidee_corrected_plot_marker_tests.csv</t>
  </si>
  <si>
    <t>c4a6ae4c083df1c9115540f75f83991cc7cf763737305cb29ba8aaa08dbf9db0</t>
  </si>
  <si>
    <t>Selected within-depth marker tests used in the four-panel Figures 2 to 4.</t>
  </si>
  <si>
    <t>aidee_corrected_plot_values.csv</t>
  </si>
  <si>
    <t>324f8c4d74a3448ebdc73b65ed810c77a54c3e45b99543291e89e4ceae46fa4b</t>
  </si>
  <si>
    <t>Selected estimated marginal means and one-SE values used in the four-panel figures.</t>
  </si>
  <si>
    <t>28_IKON_5_A4</t>
  </si>
  <si>
    <t>aidee_corrected_model_diagnostics.csv</t>
  </si>
  <si>
    <t>0.018</t>
  </si>
  <si>
    <t>38e4476352371d5fa506a1efca452556fd2acc097785ed8429cc628d9f421ebd</t>
  </si>
  <si>
    <t>Model convergence and diagnostic summary.</t>
  </si>
  <si>
    <t>supporting model output</t>
  </si>
  <si>
    <t>bulk_density_aidee_wald_omnibus.csv</t>
  </si>
  <si>
    <t>2b328875978570264f56c4307011cca82fa2671be685511c71023debde2886e8</t>
  </si>
  <si>
    <t>Type III Wald tests for bulk density.</t>
  </si>
  <si>
    <t>Figure 2b</t>
  </si>
  <si>
    <t>analysis code</t>
  </si>
  <si>
    <t>run_aidee_method_corrected_data.R</t>
  </si>
  <si>
    <t>e61a6eca113915751793872932f990db136923e37dd75294dbfbc3cd1ec31f05</t>
  </si>
  <si>
    <t>Response-model code used to generate the reported statistical outputs.</t>
  </si>
  <si>
    <t>run_bulk_density_aidee_wald.R</t>
  </si>
  <si>
    <t>d68e800556b8fc73619ca0df53a976884815f505cc2d5aa3f7ff152e4db6be5e</t>
  </si>
  <si>
    <t>Bulk-density model and tests.</t>
  </si>
  <si>
    <t>0.109</t>
  </si>
  <si>
    <t>figure code</t>
  </si>
  <si>
    <t>render_primary_figures_4panel.R</t>
  </si>
  <si>
    <t>d2a94e38b31da27f638f2fa7ea623eaa36631c021f672a22396e880e8deaae40</t>
  </si>
  <si>
    <t>Four-panel figure rendering source for Figures 2 to 4; consumes saved model outputs and does not refit models.</t>
  </si>
  <si>
    <t>supplement figure source</t>
  </si>
  <si>
    <t>depth_sampling_scheme.png</t>
  </si>
  <si>
    <t>root_weight_offset</t>
  </si>
  <si>
    <t>1914265b26956f3052fff6fe01068ba2cd94583cff9a447c710657d18a26c587</t>
  </si>
  <si>
    <t>29_IKON_5_A5</t>
  </si>
  <si>
    <t>Recovered root dry mass per increment</t>
  </si>
  <si>
    <t>Figure S1 sampling schematic.</t>
  </si>
  <si>
    <t>(20-year-old orchard) / (60-year-old orchard)</t>
  </si>
  <si>
    <t>0.626</t>
  </si>
  <si>
    <t>30_IKON_5_A6</t>
  </si>
  <si>
    <t>https://colab.research.google.com/drive/1sSgYM45Ksz3aUMix5C5NZvNtfkdOKhPh#scrollTo=CfZKbfIxJHnL</t>
  </si>
  <si>
    <t>0.175</t>
  </si>
  <si>
    <t>LAHE</t>
  </si>
  <si>
    <t>2026-10-15: agreed normalized Gamma interaction fit; 12 fitted means and SEs and six annual-root contrasts.</t>
  </si>
  <si>
    <t>annual root values</t>
  </si>
  <si>
    <t>https://docs.google.com/spreadsheets/d/1U6rKr-eYnzB5zhFS-mF4CqJ6im19iapc9O03pIfkgI8/edit#gid=232771915</t>
  </si>
  <si>
    <t>37_LAHE_1_A1</t>
  </si>
  <si>
    <t>20-50</t>
  </si>
  <si>
    <t>Verified Figure 2a values, interval volumes and display correction from the agreed model.</t>
  </si>
  <si>
    <t>Figure 2 render</t>
  </si>
  <si>
    <t>https://colab.research.google.com/drive/1sSgYM45Ksz3aUMix5C5NZvNtfkdOKhPh#scrollTo=2vUoI5rrPAOx</t>
  </si>
  <si>
    <t>2026-10-15: replaced panel (a) with recovered root mass density; all pixels outside panel (a) retained.</t>
  </si>
  <si>
    <t>publication update</t>
  </si>
  <si>
    <t>https://docs.google.com/spreadsheets/d/123lmfzBLDyktUUPaWuL1P0tHII8VLYP_lMsVzckySoU/edit</t>
  </si>
  <si>
    <t>2026-10-15: annual-root Figure values rows 2-13 and Table S1 within-depth rows 2-7 updated online. Original sample data and historical file hashes retained.</t>
  </si>
  <si>
    <t>LAHE.1</t>
  </si>
  <si>
    <t>0.105</t>
  </si>
  <si>
    <t>50-75</t>
  </si>
  <si>
    <t>38_LAHE_1_A2</t>
  </si>
  <si>
    <t>0.150</t>
  </si>
  <si>
    <t>39_LAHE_1_A3</t>
  </si>
  <si>
    <t>0.282</t>
  </si>
  <si>
    <t>0.735</t>
  </si>
  <si>
    <t>40_LAHE_1_A4</t>
  </si>
  <si>
    <t>Figure 3a</t>
  </si>
  <si>
    <t>20-year-old orchard</t>
  </si>
  <si>
    <t>0.604</t>
  </si>
  <si>
    <t>60-year-old orchard</t>
  </si>
  <si>
    <t>41_LAHE_1_A5</t>
  </si>
  <si>
    <t>0.333</t>
  </si>
  <si>
    <t>(20-year-old orchard) - (60-year-old orchard)</t>
  </si>
  <si>
    <t>0.450</t>
  </si>
  <si>
    <t>42_LAHE_1_A6</t>
  </si>
  <si>
    <t>0.121</t>
  </si>
  <si>
    <t>49_LAHE_3_A1</t>
  </si>
  <si>
    <t>LAHE.3</t>
  </si>
  <si>
    <t>Figure 3c</t>
  </si>
  <si>
    <t>0.106</t>
  </si>
  <si>
    <t>50_LAHE_3_A2</t>
  </si>
  <si>
    <t>0.473</t>
  </si>
  <si>
    <t>0.005</t>
  </si>
  <si>
    <t>51_LAHE_3_A3</t>
  </si>
  <si>
    <t>52_LAHE_3_A4</t>
  </si>
  <si>
    <t>joint management test</t>
  </si>
  <si>
    <t>(all management categories)</t>
  </si>
  <si>
    <t>Inf</t>
  </si>
  <si>
    <t>0.369</t>
  </si>
  <si>
    <t>53_LAHE_3_A5</t>
  </si>
  <si>
    <t>(10-year-old hedgerow) / (30-year-old hedgerow)</t>
  </si>
  <si>
    <t>0.191</t>
  </si>
  <si>
    <t>no</t>
  </si>
  <si>
    <t>Figure 3d</t>
  </si>
  <si>
    <t>bare field margin / (10-year-old hedgerow)</t>
  </si>
  <si>
    <t>0.264</t>
  </si>
  <si>
    <t>54_LAHE_3_A6</t>
  </si>
  <si>
    <t>bare field margin / (30-year-old hedgerow)</t>
  </si>
  <si>
    <t>0.850</t>
  </si>
  <si>
    <t>61_LAHE_5_A1</t>
  </si>
  <si>
    <t>LAHE.5</t>
  </si>
  <si>
    <t>0.385</t>
  </si>
  <si>
    <t>62_LAHE_5_A2</t>
  </si>
  <si>
    <t>63_LAHE_5_A3</t>
  </si>
  <si>
    <t>Figure 3b</t>
  </si>
  <si>
    <t>64_LAHE_5_A4</t>
  </si>
  <si>
    <t>65_LAHE_5_A5</t>
  </si>
  <si>
    <t>0.104</t>
  </si>
  <si>
    <t>0.010</t>
  </si>
  <si>
    <t>66_LAHE_5_A6</t>
  </si>
  <si>
    <t>Figure 4a</t>
  </si>
  <si>
    <t>10-year-old hedgerow</t>
  </si>
  <si>
    <t>30-year-old hedgerow</t>
  </si>
  <si>
    <t>OR</t>
  </si>
  <si>
    <t>MAS1</t>
  </si>
  <si>
    <t>peach orchard</t>
  </si>
  <si>
    <t>67_MAS1_1_A1</t>
  </si>
  <si>
    <t>bare field margin</t>
  </si>
  <si>
    <t>0.054</t>
  </si>
  <si>
    <t>MAS1.1</t>
  </si>
  <si>
    <t>68_MAS1_1_A2</t>
  </si>
  <si>
    <t>69_MAS1_1_A3</t>
  </si>
  <si>
    <t>75-100</t>
  </si>
  <si>
    <t>70_MAS1_1_A4</t>
  </si>
  <si>
    <t>0.614</t>
  </si>
  <si>
    <t>71_MAS1_1_A5</t>
  </si>
  <si>
    <t>Orchard 75-100 cm increment excluded so all orchard responses use the common 0-75 cm depth range.</t>
  </si>
  <si>
    <t>87_MAS1_3_A1</t>
  </si>
  <si>
    <t>Figure 4c</t>
  </si>
  <si>
    <t>MAS1.3</t>
  </si>
  <si>
    <t>0.112</t>
  </si>
  <si>
    <t>88_MAS1_3_A2</t>
  </si>
  <si>
    <t>89_MAS1_3_A3</t>
  </si>
  <si>
    <t>90_MAS1_3_A4</t>
  </si>
  <si>
    <t>0.526</t>
  </si>
  <si>
    <t>91_MAS1_3_A5</t>
  </si>
  <si>
    <t>107_MAS1_5_A1</t>
  </si>
  <si>
    <t>0.415</t>
  </si>
  <si>
    <t>0.245</t>
  </si>
  <si>
    <t>MAS1.5</t>
  </si>
  <si>
    <t>Figure 4d</t>
  </si>
  <si>
    <t>108_MAS1_5_A2</t>
  </si>
  <si>
    <t>0.257</t>
  </si>
  <si>
    <t>0.976</t>
  </si>
  <si>
    <t>109_MAS1_5_A3</t>
  </si>
  <si>
    <t>0.305</t>
  </si>
  <si>
    <t>110_MAS1_5_A4</t>
  </si>
  <si>
    <t>0.136</t>
  </si>
  <si>
    <t>0.277</t>
  </si>
  <si>
    <t>111_MAS1_5_A5</t>
  </si>
  <si>
    <t>0.688</t>
  </si>
  <si>
    <t>MAS2</t>
  </si>
  <si>
    <t>122_MAS2_1_A1</t>
  </si>
  <si>
    <t>0.686</t>
  </si>
  <si>
    <t>MAS2.1</t>
  </si>
  <si>
    <t>0.687</t>
  </si>
  <si>
    <t>123_MAS2_1_A2</t>
  </si>
  <si>
    <t>0.386</t>
  </si>
  <si>
    <t>0.642</t>
  </si>
  <si>
    <t>124_MAS2_1_A3</t>
  </si>
  <si>
    <t>Figure 4b</t>
  </si>
  <si>
    <t>0.130</t>
  </si>
  <si>
    <t>(10-year-old hedgerow) - (30-year-old hedgerow)</t>
  </si>
  <si>
    <t>0.672</t>
  </si>
  <si>
    <t>125_MAS2_1_A4</t>
  </si>
  <si>
    <t>bare field margin - (10-year-old hedgerow)</t>
  </si>
  <si>
    <t>0.134</t>
  </si>
  <si>
    <t>bare field margin - (30-year-old hedgerow)</t>
  </si>
  <si>
    <t>126_MAS2_1_A5</t>
  </si>
  <si>
    <t>0.055</t>
  </si>
  <si>
    <t>0.914</t>
  </si>
  <si>
    <t>142_MAS2_3_A1</t>
  </si>
  <si>
    <t>0.832</t>
  </si>
  <si>
    <t>MAS2.3</t>
  </si>
  <si>
    <t>143_MAS2_3_A2</t>
  </si>
  <si>
    <t>0.671</t>
  </si>
  <si>
    <t>144_MAS2_3_A3</t>
  </si>
  <si>
    <t>0.372</t>
  </si>
  <si>
    <t>0.172</t>
  </si>
  <si>
    <t>145_MAS2_3_A4</t>
  </si>
  <si>
    <t>0.689</t>
  </si>
  <si>
    <t>146_MAS2_3_A5</t>
  </si>
  <si>
    <t>0.334</t>
  </si>
  <si>
    <t>0.079</t>
  </si>
  <si>
    <t>162_MAS2_5_A1</t>
  </si>
  <si>
    <t>0.072</t>
  </si>
  <si>
    <t>MAS2.5</t>
  </si>
  <si>
    <t>163_MAS2_5_A2</t>
  </si>
  <si>
    <t>0.038</t>
  </si>
  <si>
    <t>164_MAS2_5_A3</t>
  </si>
  <si>
    <t>0.782</t>
  </si>
  <si>
    <t>0.003</t>
  </si>
  <si>
    <t>165_MAS2_5_A4</t>
  </si>
  <si>
    <t>0.597</t>
  </si>
  <si>
    <t>166_MAS2_5_A5</t>
  </si>
  <si>
    <t>HE</t>
  </si>
  <si>
    <t>HRDY1</t>
  </si>
  <si>
    <t>hedgerow</t>
  </si>
  <si>
    <t>182_HRDY1_1_A1</t>
  </si>
  <si>
    <t>HRDY1.1</t>
  </si>
  <si>
    <t>183_HRDY1_1_A2</t>
  </si>
  <si>
    <t>0.981</t>
  </si>
  <si>
    <t>184_HRDY1_1_A3</t>
  </si>
  <si>
    <t>0.318</t>
  </si>
  <si>
    <t>185_HRDY1_1_A4</t>
  </si>
  <si>
    <t>0.807</t>
  </si>
  <si>
    <t>186_HRDY1_1_A5</t>
  </si>
  <si>
    <t>0.241</t>
  </si>
  <si>
    <t>0.157</t>
  </si>
  <si>
    <t>187_HRDY1_2_A1</t>
  </si>
  <si>
    <t>0.247</t>
  </si>
  <si>
    <t>HRDY1.2</t>
  </si>
  <si>
    <t>0.102</t>
  </si>
  <si>
    <t>188_HRDY1_2_A2</t>
  </si>
  <si>
    <t>189_HRDY1_2_A3</t>
  </si>
  <si>
    <t>190_HRDY1_2_A4</t>
  </si>
  <si>
    <t>0.029</t>
  </si>
  <si>
    <t>191_HRDY1_2_A5</t>
  </si>
  <si>
    <t>192_HRDY1_3_A1</t>
  </si>
  <si>
    <t>0.890</t>
  </si>
  <si>
    <t>HRDY1.3</t>
  </si>
  <si>
    <t>193_HRDY1_3_A2</t>
  </si>
  <si>
    <t>0.327</t>
  </si>
  <si>
    <t>194_HRDY1_3_A3</t>
  </si>
  <si>
    <t>195_HRDY1_3_A4</t>
  </si>
  <si>
    <t>196_HRDY1_3_A5</t>
  </si>
  <si>
    <t>HRDY2</t>
  </si>
  <si>
    <t>197_HRDY2_1_A1</t>
  </si>
  <si>
    <t>HRDY2.1</t>
  </si>
  <si>
    <t>198_HRDY2_1_A2</t>
  </si>
  <si>
    <t>199_HRDY2_1_A3</t>
  </si>
  <si>
    <t>200_HRDY2_1_A4</t>
  </si>
  <si>
    <t>201_HRDY2_1_A5</t>
  </si>
  <si>
    <t>202_HRDY2_2_A1</t>
  </si>
  <si>
    <t>HRDY2.2</t>
  </si>
  <si>
    <t>203_HRDY2_2_A2</t>
  </si>
  <si>
    <t>204_HRDY2_2_A3</t>
  </si>
  <si>
    <t>205_HRDY2_2_A4</t>
  </si>
  <si>
    <t>206_HRDY2_2_A5</t>
  </si>
  <si>
    <t>207_HRDY2_3_A1</t>
  </si>
  <si>
    <t>HRDY2.3</t>
  </si>
  <si>
    <t>208_HRDY2_3_A2</t>
  </si>
  <si>
    <t>209_HRDY2_3_A3</t>
  </si>
  <si>
    <t>210_HRDY2_3_A4</t>
  </si>
  <si>
    <t>211_HRDY2_3_A5</t>
  </si>
  <si>
    <t>HRDY3</t>
  </si>
  <si>
    <t>control</t>
  </si>
  <si>
    <t>212_HRDY3_1_A1</t>
  </si>
  <si>
    <t>HRDY3.1</t>
  </si>
  <si>
    <t>213_HRDY3_1_A2</t>
  </si>
  <si>
    <t>214_HRDY3_1_A3</t>
  </si>
  <si>
    <t>215_HRDY3_1_A4</t>
  </si>
  <si>
    <t>216_HRDY3_1_A5</t>
  </si>
  <si>
    <t>217_HRDY3_2_A1</t>
  </si>
  <si>
    <t>HRDY3.2</t>
  </si>
  <si>
    <t>218_HRDY3_2_A2</t>
  </si>
  <si>
    <t>219_HRDY3_2_A3</t>
  </si>
  <si>
    <t>220_HRDY3_2_A4</t>
  </si>
  <si>
    <t>221_HRDY3_2_A5</t>
  </si>
  <si>
    <t>222_HRDY3_3_A1</t>
  </si>
  <si>
    <t>HRDY3.3</t>
  </si>
  <si>
    <t>223_HRDY3_3_A2</t>
  </si>
  <si>
    <t>224_HRDY3_3_A3</t>
  </si>
  <si>
    <t>225_HRDY3_3_A4</t>
  </si>
  <si>
    <t>226_HRDY3_3_A5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</si>
</sst>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0"/>
    <numFmt numFmtId="165" formatCode="0"/>
    <numFmt numFmtId="166" formatCode="0.000"/>
  </numFmts>
  <fonts count="21">
    <font>
      <sz val="11.0"/>
      <color rgb="FF000000"/>
      <name val="Carlito"/>
      <scheme val="minor"/>
    </font>
    <font>
      <b/>
      <sz val="15.0"/>
      <color rgb="FFFFFFFF"/>
      <name val="Arial"/>
    </font>
    <font>
      <b/>
      <sz val="10.0"/>
      <color rgb="FF183B4A"/>
      <name val="Arial"/>
    </font>
    <font>
      <sz val="10.0"/>
      <color theme="1"/>
      <name val="Arial"/>
    </font>
    <font>
      <b/>
      <sz val="10.0"/>
      <color rgb="FFFFFFFF"/>
      <name val="Arial"/>
    </font>
    <font>
      <sz val="9.0"/>
      <color theme="1"/>
      <name val="Arial"/>
    </font>
    <font>
      <color theme="1"/>
      <name val="Carlito"/>
      <scheme val="minor"/>
    </font>
    <font>
      <u/>
      <sz val="9.0"/>
      <color rgb="FF0000FF"/>
      <name val="Arial"/>
    </font>
    <font>
      <u/>
      <color rgb="FF0000FF"/>
    </font>
    <font>
      <sz val="11"/>
      <color rgb="FF000000"/>
      <name val="Carlito"/>
      <scheme val="minor"/>
    </font>
    <font>
      <b/>
      <sz val="15"/>
      <color rgb="FFFFFFFF"/>
      <name val="Arial"/>
    </font>
    <font>
      <b/>
      <sz val="10"/>
      <color rgb="FF183B4A"/>
      <name val="Arial"/>
    </font>
    <font>
      <sz val="10"/>
      <color theme="1"/>
      <name val="Arial"/>
    </font>
    <font>
      <b/>
      <sz val="10"/>
      <color rgb="FFFFFFFF"/>
      <name val="Arial"/>
    </font>
    <font>
      <sz val="9"/>
      <color theme="1"/>
      <name val="Arial"/>
    </font>
    <font>
      <u val="single"/>
      <sz val="9"/>
      <color rgb="FF0000FF"/>
      <name val="Arial"/>
    </font>
    <font>
      <u val="single"/>
      <color rgb="FF0000FF"/>
    </font>
    <font>
      <sz val="10"/>
      <color rgb="FF000000"/>
      <name val="Arial"/>
      <scheme val="minor"/>
    </font>
    <font>
      <b/>
      <sz val="12"/>
      <color rgb="FF000000"/>
      <name val="Arial"/>
      <scheme val="minor"/>
    </font>
    <font>
      <i/>
      <sz val="10"/>
      <color rgb="FF000000"/>
      <name val="Arial"/>
      <scheme val="minor"/>
    </font>
    <font>
      <b/>
      <sz val="10"/>
      <color rgb="FFFFFFFF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183B4A"/>
        <bgColor rgb="FF183B4A"/>
      </patternFill>
    </fill>
    <fill>
      <patternFill patternType="solid">
        <fgColor rgb="FFE7EFF2"/>
        <bgColor rgb="FFE7EFF2"/>
      </patternFill>
    </fill>
    <fill>
      <patternFill patternType="solid">
        <fgColor rgb="FF244B5A"/>
        <bgColor rgb="FF244B5A"/>
      </patternFill>
    </fill>
    <fill>
      <patternFill patternType="solid">
        <fgColor rgb="FF183B4A"/>
      </patternFill>
    </fill>
    <fill>
      <patternFill patternType="solid">
        <fgColor rgb="FFE7EFF2"/>
      </patternFill>
    </fill>
    <fill>
      <patternFill patternType="solid">
        <fgColor rgb="FF244B5A"/>
      </patternFill>
    </fill>
    <fill>
      <patternFill patternType="solid">
        <fgColor rgb="FF1F4E78"/>
      </patternFill>
    </fill>
  </fills>
  <borders count="8">
    <border/>
    <border>
      <bottom style="thin">
        <color rgb="FFD0DADF"/>
      </bottom>
    </border>
    <border>
      <top style="thin">
        <color rgb="FFD0DADF"/>
      </top>
      <bottom style="thin">
        <color rgb="FFD0DADF"/>
      </bottom>
    </border>
    <border>
      <top style="thin">
        <color rgb="FFD0DADF"/>
      </top>
    </border>
    <border>
      <bottom style="medium">
        <color rgb="FF183B4A"/>
      </bottom>
    </border>
    <border>
      <bottom style="thin">
        <color rgb="FFDCE4E8"/>
      </bottom>
    </border>
    <border>
      <top style="thin">
        <color rgb="FFDCE4E8"/>
      </top>
      <bottom style="thin">
        <color rgb="FFDCE4E8"/>
      </bottom>
    </border>
    <border>
      <top style="thin">
        <color rgb="FFDCE4E8"/>
      </top>
    </border>
  </borders>
  <cellStyleXfs count="2">
    <xf borderId="0" fillId="0" fontId="0" numFmtId="0" applyAlignment="1" applyFont="1"/>
    <xf numFmtId="0" fontId="9" fillId="0" borderId="0" applyFont="1" applyAlignment="1"/>
  </cellStyleXfs>
  <cellXfs count="6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vertical="center"/>
    </xf>
    <xf borderId="1" fillId="3" fontId="2" numFmtId="0" xfId="0" applyAlignment="1" applyBorder="1" applyFill="1" applyFont="1">
      <alignment vertical="top"/>
    </xf>
    <xf borderId="1" fillId="0" fontId="3" numFmtId="0" xfId="0" applyAlignment="1" applyBorder="1" applyFont="1">
      <alignment readingOrder="0" shrinkToFit="0" vertical="top" wrapText="1"/>
    </xf>
    <xf borderId="2" fillId="3" fontId="2" numFmtId="0" xfId="0" applyAlignment="1" applyBorder="1" applyFill="1" applyFont="1">
      <alignment vertical="top"/>
    </xf>
    <xf borderId="2" fillId="0" fontId="3" numFmtId="0" xfId="0" applyAlignment="1" applyBorder="1" applyFont="1">
      <alignment readingOrder="0" shrinkToFit="0" vertical="top" wrapText="1"/>
    </xf>
    <xf borderId="2" fillId="0" fontId="3" numFmtId="0" xfId="0" applyAlignment="1" applyBorder="1" applyFont="1">
      <alignment shrinkToFit="0" vertical="top" wrapText="1"/>
    </xf>
    <xf borderId="3" fillId="3" fontId="2" numFmtId="0" xfId="0" applyAlignment="1" applyBorder="1" applyFill="1" applyFont="1">
      <alignment vertical="top"/>
    </xf>
    <xf borderId="3" fillId="0" fontId="3" numFmtId="0" xfId="0" applyAlignment="1" applyBorder="1" applyFont="1">
      <alignment readingOrder="0" shrinkToFit="0" vertical="top" wrapText="1"/>
    </xf>
    <xf borderId="4" fillId="4" fontId="4" numFmtId="0" xfId="0" applyAlignment="1" applyBorder="1" applyFill="1" applyFont="1">
      <alignment horizontal="left" readingOrder="0" shrinkToFit="0" vertical="center" wrapText="1"/>
    </xf>
    <xf borderId="5" fillId="0" fontId="5" numFmtId="0" xfId="0" applyAlignment="1" applyBorder="1" applyFont="1">
      <alignment horizontal="left" shrinkToFit="0" vertical="top" wrapText="0"/>
    </xf>
    <xf borderId="5" fillId="0" fontId="5" numFmtId="0" xfId="0" applyAlignment="1" applyBorder="1" applyFont="1">
      <alignment horizontal="left" readingOrder="0" shrinkToFit="0" vertical="top" wrapText="0"/>
    </xf>
    <xf borderId="6" fillId="0" fontId="5" numFmtId="0" xfId="0" applyAlignment="1" applyBorder="1" applyFont="1">
      <alignment horizontal="left" shrinkToFit="0" vertical="top" wrapText="0"/>
    </xf>
    <xf borderId="7" fillId="0" fontId="5" numFmtId="0" xfId="0" applyAlignment="1" applyBorder="1" applyFont="1">
      <alignment horizontal="left" shrinkToFit="0" vertical="top" wrapText="0"/>
    </xf>
    <xf borderId="5" fillId="0" fontId="5" numFmtId="0" xfId="0" applyAlignment="1" applyBorder="1" applyFont="1">
      <alignment horizontal="left" shrinkToFit="0" vertical="top" wrapText="1"/>
    </xf>
    <xf borderId="6" fillId="0" fontId="5" numFmtId="0" xfId="0" applyAlignment="1" applyBorder="1" applyFont="1">
      <alignment horizontal="left" shrinkToFit="0" vertical="top" wrapText="1"/>
    </xf>
    <xf borderId="6" fillId="0" fontId="5" numFmtId="0" xfId="0" applyAlignment="1" applyBorder="1" applyFont="1">
      <alignment horizontal="left" readingOrder="0" shrinkToFit="0" vertical="top" wrapText="1"/>
    </xf>
    <xf borderId="7" fillId="0" fontId="5" numFmtId="0" xfId="0" applyAlignment="1" applyBorder="1" applyFont="1">
      <alignment horizontal="left" shrinkToFit="0" vertical="top" wrapText="1"/>
    </xf>
    <xf borderId="0" fillId="0" fontId="5" numFmtId="0" xfId="0" applyAlignment="1" applyFont="1">
      <alignment horizontal="left" shrinkToFit="0" vertical="top" wrapText="1"/>
    </xf>
    <xf borderId="0" fillId="0" fontId="6" numFmtId="0" xfId="0" applyFont="1"/>
    <xf borderId="0" fillId="0" fontId="7" numFmtId="0" xfId="0" applyAlignment="1" applyFont="1">
      <alignment horizontal="left" shrinkToFit="0" vertical="top" wrapText="1"/>
    </xf>
    <xf borderId="0" fillId="0" fontId="8" numFmtId="0" xfId="0" applyFont="1"/>
    <xf borderId="0" fillId="0" fontId="6" numFmtId="0" xfId="0" applyFont="1" applyAlignment="1">
      <alignment wrapText="1" vertical="top"/>
    </xf>
    <xf borderId="4" fillId="4" fontId="4" numFmtId="0" xfId="0" applyAlignment="1" applyBorder="1" applyFill="1" applyFont="1">
      <alignment horizontal="center" readingOrder="0" shrinkToFit="0" vertical="center" wrapText="1"/>
    </xf>
    <xf borderId="6" fillId="0" fontId="5" numFmtId="0" xfId="0" applyAlignment="1" applyBorder="1" applyFont="1">
      <alignment horizontal="left" shrinkToFit="0" vertical="top" wrapText="1"/>
    </xf>
    <xf borderId="6" fillId="0" fontId="5" numFmtId="164" xfId="0" applyAlignment="1" applyBorder="1" applyFont="1" applyNumberFormat="1">
      <alignment horizontal="right" shrinkToFit="0" vertical="top" wrapText="1"/>
    </xf>
    <xf borderId="6" fillId="0" fontId="5" numFmtId="165" xfId="0" applyAlignment="1" applyBorder="1" applyFont="1" applyNumberFormat="1">
      <alignment horizontal="right" shrinkToFit="0" vertical="top" wrapText="1"/>
    </xf>
    <xf numFmtId="0" fontId="9" fillId="0" borderId="0" xfId="1" applyFont="1" applyAlignment="1">
      <alignment vertical="bottom" wrapText="0" shrinkToFit="0"/>
    </xf>
    <xf numFmtId="0" fontId="10" fillId="5" borderId="0" xfId="1" applyFont="1" applyFill="1" applyAlignment="1">
      <alignment horizontal="left" vertical="center"/>
    </xf>
    <xf numFmtId="0" fontId="11" fillId="6" borderId="1" xfId="1" applyFont="1" applyFill="1" applyBorder="1" applyAlignment="1">
      <alignment vertical="top"/>
    </xf>
    <xf numFmtId="0" fontId="12" fillId="0" borderId="1" xfId="1" applyFont="1" applyBorder="1" applyAlignment="1">
      <alignment vertical="top" wrapText="1" shrinkToFit="0"/>
    </xf>
    <xf numFmtId="0" fontId="11" fillId="6" borderId="2" xfId="1" applyFont="1" applyFill="1" applyBorder="1" applyAlignment="1">
      <alignment vertical="top"/>
    </xf>
    <xf numFmtId="0" fontId="12" fillId="0" borderId="2" xfId="1" applyFont="1" applyBorder="1" applyAlignment="1">
      <alignment vertical="top" wrapText="1" shrinkToFit="0"/>
    </xf>
    <xf numFmtId="0" fontId="11" fillId="6" borderId="3" xfId="1" applyFont="1" applyFill="1" applyBorder="1" applyAlignment="1">
      <alignment vertical="top"/>
    </xf>
    <xf numFmtId="0" fontId="12" fillId="0" borderId="3" xfId="1" applyFont="1" applyBorder="1" applyAlignment="1">
      <alignment vertical="top" wrapText="1" shrinkToFit="0"/>
    </xf>
    <xf numFmtId="0" fontId="13" fillId="7" borderId="4" xfId="1" applyFont="1" applyFill="1" applyBorder="1" applyAlignment="1">
      <alignment horizontal="left" vertical="center" wrapText="1" shrinkToFit="0"/>
    </xf>
    <xf numFmtId="0" fontId="14" fillId="0" borderId="5" xfId="1" applyFont="1" applyBorder="1" applyAlignment="1">
      <alignment horizontal="left" vertical="top" wrapText="0" shrinkToFit="0"/>
    </xf>
    <xf numFmtId="0" fontId="14" fillId="0" borderId="6" xfId="1" applyFont="1" applyBorder="1" applyAlignment="1">
      <alignment horizontal="left" vertical="top" wrapText="0" shrinkToFit="0"/>
    </xf>
    <xf numFmtId="0" fontId="14" fillId="0" borderId="7" xfId="1" applyFont="1" applyBorder="1" applyAlignment="1">
      <alignment horizontal="left" vertical="top" wrapText="0" shrinkToFit="0"/>
    </xf>
    <xf numFmtId="0" fontId="14" fillId="0" borderId="5" xfId="1" applyFont="1" applyBorder="1" applyAlignment="1">
      <alignment horizontal="left" vertical="top" wrapText="1" shrinkToFit="0"/>
    </xf>
    <xf numFmtId="0" fontId="14" fillId="0" borderId="6" xfId="1" applyFont="1" applyBorder="1" applyAlignment="1">
      <alignment horizontal="left" vertical="top" wrapText="1" shrinkToFit="0"/>
    </xf>
    <xf numFmtId="0" fontId="14" fillId="0" borderId="7" xfId="1" applyFont="1" applyBorder="1" applyAlignment="1">
      <alignment horizontal="left" vertical="top" wrapText="1" shrinkToFit="0"/>
    </xf>
    <xf numFmtId="0" fontId="14" fillId="0" borderId="0" xfId="1" applyFont="1" applyAlignment="1">
      <alignment horizontal="left" vertical="top" wrapText="1" shrinkToFit="0"/>
    </xf>
    <xf numFmtId="0" fontId="6" fillId="0" borderId="0" xfId="1" applyFont="1"/>
    <xf numFmtId="0" fontId="15" fillId="0" borderId="0" xfId="1" applyFont="1" applyAlignment="1">
      <alignment horizontal="left" vertical="top" wrapText="1" shrinkToFit="0"/>
    </xf>
    <xf numFmtId="0" fontId="16" fillId="0" borderId="0" xfId="1" applyFont="1"/>
    <xf numFmtId="0" fontId="6" fillId="0" borderId="0" xfId="1" applyFont="1" applyAlignment="1">
      <alignment vertical="top" wrapText="1"/>
    </xf>
    <xf numFmtId="0" fontId="13" fillId="7" borderId="4" xfId="1" applyFont="1" applyFill="1" applyBorder="1" applyAlignment="1">
      <alignment horizontal="center" vertical="center" wrapText="1" shrinkToFit="0"/>
    </xf>
    <xf numFmtId="164" fontId="14" fillId="0" borderId="6" xfId="1" applyNumberFormat="1" applyFont="1" applyBorder="1" applyAlignment="1">
      <alignment horizontal="right" vertical="top" wrapText="1" shrinkToFit="0"/>
    </xf>
    <xf numFmtId="165" fontId="14" fillId="0" borderId="6" xfId="1" applyNumberFormat="1" applyFont="1" applyBorder="1" applyAlignment="1">
      <alignment horizontal="right" vertical="top" wrapText="1" shrinkToFit="0"/>
    </xf>
    <xf numFmtId="0" fontId="17" fillId="0" borderId="0" xfId="1" applyNumberFormat="1" applyFont="1" applyFill="1" applyBorder="1" applyAlignment="1">
      <alignment vertical="bottom" wrapText="0"/>
    </xf>
    <xf numFmtId="0" fontId="18" fillId="0" borderId="0" xfId="1" applyNumberFormat="1" applyFont="1" applyFill="1" applyBorder="1" applyAlignment="1">
      <alignment vertical="bottom" wrapText="0"/>
    </xf>
    <xf numFmtId="0" fontId="19" fillId="0" borderId="0" xfId="1" applyNumberFormat="1" applyFont="1" applyFill="1" applyBorder="1" applyAlignment="1">
      <alignment vertical="bottom" wrapText="0"/>
    </xf>
    <xf numFmtId="0" fontId="17" fillId="8" borderId="0" xfId="1" applyNumberFormat="1" applyFont="1" applyFill="1" applyBorder="1" applyAlignment="1">
      <alignment vertical="bottom" wrapText="0"/>
    </xf>
    <xf numFmtId="0" fontId="20" fillId="8" borderId="0" xfId="1" applyNumberFormat="1" applyFont="1" applyFill="1" applyBorder="1" applyAlignment="1">
      <alignment vertical="bottom" wrapText="0"/>
    </xf>
    <xf numFmtId="0" fontId="20" fillId="8" borderId="0" xfId="1" applyNumberFormat="1" applyFont="1" applyFill="1" applyBorder="1" applyAlignment="1">
      <alignment vertical="bottom" wrapText="1"/>
    </xf>
    <xf numFmtId="0" fontId="20" fillId="8" borderId="0" xfId="1" applyNumberFormat="1" applyFont="1" applyFill="1" applyBorder="1" applyAlignment="1">
      <alignment horizontal="center" vertical="bottom" wrapText="1"/>
    </xf>
    <xf numFmtId="0" fontId="20" fillId="8" borderId="0" xfId="1" applyNumberFormat="1" applyFont="1" applyFill="1" applyBorder="1" applyAlignment="1">
      <alignment horizontal="center" vertical="center" wrapText="1"/>
    </xf>
    <xf numFmtId="0" fontId="17" fillId="0" borderId="0" xfId="1" applyNumberFormat="1" applyFont="1" applyFill="1" applyBorder="1" applyAlignment="1">
      <alignment vertical="center" wrapText="0"/>
    </xf>
    <xf numFmtId="165" fontId="17" fillId="0" borderId="0" xfId="1" applyNumberFormat="1" applyFont="1" applyFill="1" applyBorder="1" applyAlignment="1">
      <alignment vertical="center" wrapText="0"/>
    </xf>
    <xf numFmtId="166" fontId="17" fillId="0" borderId="0" xfId="1" applyNumberFormat="1" applyFont="1" applyFill="1" applyBorder="1" applyAlignment="1">
      <alignment vertical="center" wrapText="0"/>
    </xf>
    <xf numFmtId="165" fontId="17" fillId="0" borderId="0" xfId="1" applyNumberFormat="1" applyFont="1" applyFill="1" applyBorder="1" applyAlignment="1">
      <alignment horizontal="center" vertical="center" wrapText="0"/>
    </xf>
    <xf numFmtId="165" fontId="17" fillId="0" borderId="0" xfId="1" applyNumberFormat="1" applyFont="1" applyFill="1" applyBorder="1" applyAlignment="1">
      <alignment horizontal="right" vertical="center" wrapText="0"/>
    </xf>
    <xf numFmtId="166" fontId="17" fillId="0" borderId="0" xfId="1" applyNumberFormat="1" applyFont="1" applyFill="1" applyBorder="1" applyAlignment="1">
      <alignment horizontal="right" vertical="center" wrapText="0"/>
    </xf>
    <xf numFmtId="0" fontId="17" fillId="0" borderId="0" xfId="1" applyNumberFormat="1" applyFont="1" applyFill="1" applyBorder="1" applyAlignment="1">
      <alignment horizontal="center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6">
    <tableStyle count="4" pivot="0" name="Table S2 supportin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igure valu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able S1 within-depth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ample dat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ta dictionar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ovenanc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'1.0' encoding='UTF-8' standalone='yes'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2" Type="http://schemas.openxmlformats.org/officeDocument/2006/relationships/worksheet" Target="worksheets/sheet8.xml"/><Relationship Id="rId13" Type="http://schemas.openxmlformats.org/officeDocument/2006/relationships/worksheet" Target="worksheets/sheet9.xml"/><Relationship Id="rId14" Type="http://schemas.openxmlformats.org/officeDocument/2006/relationships/worksheet" Target="worksheets/sheet10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S75" displayName="TableS1WithinDepth" name="TableS1WithinDepth" id="3">
  <tableColumns count="19">
    <tableColumn name="system" id="1"/>
    <tableColumn name="response" id="2"/>
    <tableColumn name="response_label" id="3"/>
    <tableColumn name="reporting_role" id="4"/>
    <tableColumn name="depth_cm" id="5"/>
    <tableColumn name="test_type" id="6"/>
    <tableColumn name="contrast" id="7"/>
    <tableColumn name="effect_scale" id="8"/>
    <tableColumn name="effect" id="9"/>
    <tableColumn name="lower_95" id="10"/>
    <tableColumn name="upper_95" id="11"/>
    <tableColumn name="df1" id="12"/>
    <tableColumn name="df2" id="13"/>
    <tableColumn name="statistic" id="14"/>
    <tableColumn name="p_value" id="15"/>
    <tableColumn name="p_display" id="16"/>
    <tableColumn name="symbol" id="17"/>
    <tableColumn name="adjustment" id="18"/>
    <tableColumn name="supports_figure_symbol" id="19"/>
  </tableColumns>
  <tableStyleInfo name="Table S1 within-depth-style" showColumnStripes="0" showFirstColumn="1" showLastColumn="1" showRowStripes="1"/>
</table>
</file>

<file path=xl/tables/table2.xml><?xml version="1.0" encoding="utf-8"?>
<table xmlns="http://schemas.openxmlformats.org/spreadsheetml/2006/main" ref="A1:K19" displayName="TableS2Supporting" name="TableS2Supporting" id="1">
  <tableColumns count="11">
    <tableColumn name="system" id="1"/>
    <tableColumn name="response" id="2"/>
    <tableColumn name="response_label" id="3"/>
    <tableColumn name="reporting_role" id="4"/>
    <tableColumn name="model_family" id="5"/>
    <tableColumn name="term" id="6"/>
    <tableColumn name="statistic" id="7"/>
    <tableColumn name="df" id="8"/>
    <tableColumn name="p_value" id="9"/>
    <tableColumn name="p_display" id="10"/>
    <tableColumn name="symbol" id="11"/>
  </tableColumns>
  <tableStyleInfo name="Table S2 supporting-style" showColumnStripes="0" showFirstColumn="1" showLastColumn="1" showRowStripes="1"/>
</table>
</file>

<file path=xl/tables/table3.xml><?xml version="1.0" encoding="utf-8"?>
<table xmlns="http://schemas.openxmlformats.org/spreadsheetml/2006/main" ref="A1:P109" displayName="FigureBackingValues" name="FigureBackingValues" id="2">
  <tableColumns count="16">
    <tableColumn name="system" id="1"/>
    <tableColumn name="response" id="2"/>
    <tableColumn name="response_label" id="3"/>
    <tableColumn name="reporting_role" id="4"/>
    <tableColumn name="figure_panel" id="5"/>
    <tableColumn name="estimate_method" id="6"/>
    <tableColumn name="management" id="7"/>
    <tableColumn name="depth_cm" id="8"/>
    <tableColumn name="estimate" id="9"/>
    <tableColumn name="standard_error" id="10"/>
    <tableColumn name="lower_one_se" id="11"/>
    <tableColumn name="upper_one_se" id="12"/>
    <tableColumn name="display_estimate" id="13"/>
    <tableColumn name="display_lower_one_se" id="14"/>
    <tableColumn name="display_upper_one_se" id="15"/>
    <tableColumn name="root_display_correction_g" id="16"/>
  </tableColumns>
  <tableStyleInfo name="Figure values-style" showColumnStripes="0" showFirstColumn="1" showLastColumn="1" showRowStripes="1"/>
</table>
</file>

<file path=xl/tables/table4.xml><?xml version="1.0" encoding="utf-8"?>
<table xmlns="http://schemas.openxmlformats.org/spreadsheetml/2006/main" ref="A1:AM112" displayName="CompleteSampleData" name="CompleteSampleData" id="4">
  <tableColumns count="39">
    <tableColumn name="project_id" id="1"/>
    <tableColumn name="sample_id" id="2"/>
    <tableColumn name="site_number" id="3"/>
    <tableColumn name="site_name" id="4"/>
    <tableColumn name="management_type" id="5"/>
    <tableColumn name="years_in_management" id="6"/>
    <tableColumn name="sampling_point" id="7"/>
    <tableColumn name="transect" id="8"/>
    <tableColumn name="core_id" id="9"/>
    <tableColumn name="core_type" id="10"/>
    <tableColumn name="increment_number" id="11"/>
    <tableColumn name="depth_cm" id="12"/>
    <tableColumn name="sample_code" id="13"/>
    <tableColumn name="depth_top" id="14"/>
    <tableColumn name="depth_bottom" id="15"/>
    <tableColumn name="depth_mid" id="16"/>
    <tableColumn name="del14c" id="17"/>
    <tableColumn name="c_percent" id="18"/>
    <tableColumn name="n_percent" id="19"/>
    <tableColumn name="soil_water_g" id="20"/>
    <tableColumn name="gwc" id="21"/>
    <tableColumn name="total_dry_soil_g" id="22"/>
    <tableColumn name="depth_total_cm" id="23"/>
    <tableColumn name="volume_cm3" id="24"/>
    <tableColumn name="root_weight_raw" id="25"/>
    <tableColumn name="root_weight" id="26"/>
    <tableColumn name="core_deficit" id="27"/>
    <tableColumn name="nominal_depth_top_cm" id="28"/>
    <tableColumn name="nominal_depth_bottom_cm" id="29"/>
    <tableColumn name="recovered_depth_cm" id="30"/>
    <tableColumn name="effective_depth_bottom_cm" id="31"/>
    <tableColumn name="bulk_density" id="32"/>
    <tableColumn name="layer_c_stock" id="33"/>
    <tableColumn name="site_type" id="34"/>
    <tableColumn name="system" id="35"/>
    <tableColumn name="core" id="36"/>
    <tableColumn name="cumulative_c_stock" id="37"/>
    <tableColumn name="analysis_included" id="38"/>
    <tableColumn name="exclusion_reason" id="39"/>
  </tableColumns>
  <tableStyleInfo name="Sample data-style" showColumnStripes="0" showFirstColumn="1" showLastColumn="1" showRowStripes="1"/>
</table>
</file>

<file path=xl/tables/table5.xml><?xml version="1.0" encoding="utf-8"?>
<table xmlns="http://schemas.openxmlformats.org/spreadsheetml/2006/main" ref="A1:D57" displayName="SupplementDataDictionary" name="SupplementDataDictionary" id="5">
  <tableColumns count="4">
    <tableColumn name="variable" id="1"/>
    <tableColumn name="definition" id="2"/>
    <tableColumn name="units" id="3"/>
    <tableColumn name="role" id="4"/>
  </tableColumns>
  <tableStyleInfo name="Data dictionary-style" showColumnStripes="0" showFirstColumn="1" showLastColumn="1" showRowStripes="1"/>
</table>
</file>

<file path=xl/tables/table6.xml><?xml version="1.0" encoding="utf-8"?>
<table xmlns="http://schemas.openxmlformats.org/spreadsheetml/2006/main" ref="A1:E70" displayName="SupplementProvenance" name="SupplementProvenance" id="6">
  <tableColumns count="5">
    <tableColumn name="category" id="1"/>
    <tableColumn name="file" id="2"/>
    <tableColumn name="sha256" id="3"/>
    <tableColumn name="bytes" id="4"/>
    <tableColumn name="role" id="5"/>
  </tableColumns>
  <tableStyleInfo name="Provenance-style" showColumnStripes="0" showFirstColumn="1" showLastColumn="1" showRowStripes="1"/>
</table>
</file>

<file path=xl/tables/table7.xml><?xml version="1.0" encoding="utf-8"?>
<x:table xmlns:x="http://schemas.openxmlformats.org/spreadsheetml/2006/main" id="9" name="StockEndpointGroupSummary" displayName="StockEndpointGroupSummary" ref="A5:I15" headerRowCount="1" totalsRowCount="0" totalsRowShown="0">
  <x:tableColumns count="9">
    <x:tableColumn id="1" name="system"/>
    <x:tableColumn id="2" name="endpoint_cm"/>
    <x:tableColumn id="3" name="management"/>
    <x:tableColumn id="4" name="n_cores"/>
    <x:tableColumn id="5" name="mean_t_C_ha"/>
    <x:tableColumn id="6" name="sd_t_C_ha"/>
    <x:tableColumn id="7" name="se_t_C_ha"/>
    <x:tableColumn id="8" name="source_sample_codes"/>
    <x:tableColumn id="9" name="source_core_id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10" name="StockEndpointWelch" displayName="StockEndpointWelch" ref="A20:P28" headerRowCount="1" totalsRowCount="0" totalsRowShown="0">
  <x:tableColumns count="16">
    <x:tableColumn id="1" name="system"/>
    <x:tableColumn id="2" name="endpoint_cm"/>
    <x:tableColumn id="3" name="first_group"/>
    <x:tableColumn id="4" name="second_group"/>
    <x:tableColumn id="5" name="n_first"/>
    <x:tableColumn id="6" name="n_second"/>
    <x:tableColumn id="7" name="difference_t_C_ha"/>
    <x:tableColumn id="8" name="lower_95_t_C_ha"/>
    <x:tableColumn id="9" name="upper_95_t_C_ha"/>
    <x:tableColumn id="10" name="t"/>
    <x:tableColumn id="11" name="df"/>
    <x:tableColumn id="12" name="p_unadjusted"/>
    <x:tableColumn id="13" name="p_Holm_six_hedgerow_tests"/>
    <x:tableColumn id="14" name="p_reported"/>
    <x:tableColumn id="15" name="p_adjustment"/>
    <x:tableColumn id="16" name="symbo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colab.research.google.com/drive/1sSgYM45Ksz3aUMix5C5NZvNtfkdOKhPh" TargetMode="External"/><Relationship Id="rId2" Type="http://schemas.openxmlformats.org/officeDocument/2006/relationships/hyperlink" Target="https://docs.google.com/spreadsheets/d/1U6rKr-eYnzB5zhFS-mF4CqJ6im19iapc9O03pIfkgI8/edit" TargetMode="External"/><Relationship Id="rId3" Type="http://schemas.openxmlformats.org/officeDocument/2006/relationships/hyperlink" Target="https://colab.research.google.com/drive/1sSgYM45Ksz3aUMix5C5NZvNtfkdOKhPh" TargetMode="External"/><Relationship Id="rId4" Type="http://schemas.openxmlformats.org/officeDocument/2006/relationships/hyperlink" Target="https://docs.google.com/spreadsheets/d/123lmfzBLDyktUUPaWuL1P0tHII8VLYP_lMsVzckySoU/edit" TargetMode="External"/><Relationship Id="rId5" Type="http://schemas.openxmlformats.org/officeDocument/2006/relationships/drawing" Target="../drawings/drawing7.xml"/><Relationship Id="rId7" Type="http://schemas.openxmlformats.org/officeDocument/2006/relationships/table" Target="../tables/table6.xml"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7.xml" Id="R4044959e28a14dd3" /><Relationship Type="http://schemas.openxmlformats.org/officeDocument/2006/relationships/table" Target="/xl/tables/table8.xml" Id="R359b90fed3d54df3" 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7.0"/>
    <col customWidth="1" min="2" max="2" width="105.0"/>
    <col customWidth="1" min="3" max="26" width="8.63"/>
  </cols>
  <sheetData>
    <row r="1" ht="30.0" customHeight="1">
      <c r="A1" s="1" t="s">
        <v>0</v>
      </c>
    </row>
    <row r="2" ht="78" customHeight="1">
      <c r="A2" s="2" t="s">
        <v>1</v>
      </c>
      <c r="B2" s="3" t="str">
        <v>Figure S1 is in the companion supplement. Root-model checks are in docs/ROOT_MODEL_CHECKS.md. This workbook contains Tables S1-S2, endpoint stock comparisons, figure values, measured profiles, all 111 sample records, variable definitions and source hashes.</v>
      </c>
    </row>
    <row r="3" ht="39.75" customHeight="1">
      <c r="A3" s="4" t="s">
        <v>3</v>
      </c>
      <c r="B3" s="5" t="s">
        <v>4</v>
      </c>
    </row>
    <row r="4" ht="78" customHeight="1">
      <c r="A4" s="4" t="s">
        <v>5</v>
      </c>
      <c r="B4" s="5" t="str">
        <v>74 within-depth root-density, C-concentration and radiocarbon results: 66 pairwise contrasts and eight hedgerow joint tests. These p-values remain unadjusted. Stock comparisons are reported separately in Endpoint Welch.</v>
      </c>
    </row>
    <row r="5" ht="39.75" customHeight="1">
      <c r="A5" s="4" t="s">
        <v>7</v>
      </c>
      <c r="B5" s="5" t="s">
        <v>8</v>
      </c>
    </row>
    <row r="6" ht="78" customHeight="1">
      <c r="A6" s="4" t="s">
        <v>9</v>
      </c>
      <c r="B6" s="5" t="str">
        <v>Figure 2a retains corrected annual Gamma fitted means and one model SE; the fixed density addition is subtracted for display. Figures 3a and 4a show measured root-density profiles in Observed root profiles. Stock panels 2c-4c show observed core means and one sample SE. Other panels retain fitted means and one model SE. estimate_method and reporting_role identify the estimator and uncertainty.</v>
      </c>
    </row>
    <row r="7" ht="39.75" customHeight="1">
      <c r="A7" s="4" t="s">
        <v>11</v>
      </c>
      <c r="B7" s="6" t="inlineStr">
        <is>
          <t>All 111 sample rows for the 21 cores selected for radiocarbon analysis. The analysis_included field identifies the 96 current model rows. Six orchard and nine hedgerow 75-100 cm rows are retained but excluded from the common 0-75 cm perennial analyses.</t>
        </is>
      </c>
    </row>
    <row r="8" ht="78" customHeight="1">
      <c r="A8" s="4" t="s">
        <v>13</v>
      </c>
      <c r="B8" s="6" t="inlineStr">
        <is>
          <t xml:space="preserve">The Provenance sheet records source filenames, roles, file sizes and SHA-256 checksums. Raw files, saved model outputs and code remain separate resources.</t>
        </is>
      </c>
    </row>
    <row r="9" ht="39.75" customHeight="1">
      <c r="A9" s="4" t="s">
        <v>15</v>
      </c>
      <c r="B9" s="6" t="s">
        <v>16</v>
      </c>
    </row>
    <row r="10" ht="39.75" customHeight="1">
      <c r="A10" s="4" t="s">
        <v>17</v>
      </c>
      <c r="B10" s="6" t="s">
        <v>18</v>
      </c>
    </row>
    <row r="11" ht="66" customHeight="1">
      <c r="A11" s="4" t="s">
        <v>19</v>
      </c>
      <c r="B11" s="6" t="inlineStr">
        <is>
          <t xml:space="preserve">Sample 143 root_weight remains 0.0086 g after correction of an impossible negative source subtraction. Eighteen annual root_weight values were updated to the author-corrected October 16 masses. The original imported masses remain in root_weight_raw. The corrected annual subset has 36 observations, six cores and nine confirmed no-roots-recovered zeros. Handwritten records were not independently inspected.</t>
        </is>
      </c>
    </row>
    <row r="12" ht="78" customHeight="1">
      <c r="A12" s="7" t="s">
        <v>21</v>
      </c>
      <c r="B12" s="8" t="str">
        <v>2026-08-05 (original non-root analyses); 2026-10-16 (corrected annual masses and root results); 2026-10-19 (common 0-75 cm hedgerow models); 2026-10-20 (endpoint Welch stock comparisons and observed stock-profile means).</v>
      </c>
    </row>
    <row r="14" ht="39.75" customHeight="1">
      <c r="A14" s="4" t="inlineStr">
        <is>
          <t xml:space="preserve">Manuscript title</t>
        </is>
      </c>
      <c r="B14" s="6" t="inlineStr">
        <is>
          <t xml:space="preserve">Soil Carbon Stocks and Radiocarbon Profiles in Three Agricultural Systems of California’s Central Valley</t>
        </is>
      </c>
    </row>
    <row r="15" ht="54.0" customHeight="1">
      <c r="A15" s="4" t="inlineStr">
        <is>
          <t xml:space="preserve">Authors</t>
        </is>
      </c>
      <c r="B15" s="6" t="inlineStr">
        <is>
          <t xml:space="preserve">Anh Trinh1,2; Kari M. Finstad1; Karis J. McFarlane1; Rodolfo Huerta1; Megan Kan1; Jennifer Pett-Ridge1,3,4; Aidee Guzman1,5*</t>
        </is>
      </c>
    </row>
    <row r="16" ht="39.75" customHeight="1">
      <c r="A16" s="4" t="inlineStr">
        <is>
          <t xml:space="preserve">1</t>
        </is>
      </c>
      <c r="B16" s="6" t="inlineStr">
        <is>
          <t xml:space="preserve">Physical and Life Sciences Directorate, Lawrence Livermore National Laboratory, Livermore, CA 94550, USA</t>
        </is>
      </c>
    </row>
    <row r="17" ht="39.75" customHeight="1">
      <c r="A17" s="4" t="inlineStr">
        <is>
          <t xml:space="preserve">2</t>
        </is>
      </c>
      <c r="B17" s="6" t="inlineStr">
        <is>
          <t xml:space="preserve">Department of Earth, Environmental and Planetary Sciences, Rice University, Houston, TX 77005, USA</t>
        </is>
      </c>
    </row>
    <row r="18" ht="39.75" customHeight="1">
      <c r="A18" s="4" t="inlineStr">
        <is>
          <t xml:space="preserve">3</t>
        </is>
      </c>
      <c r="B18" s="6" t="inlineStr">
        <is>
          <t xml:space="preserve">Life &amp; Environmental Sciences Department, University of California Merced, Merced, CA 95343, USA</t>
        </is>
      </c>
    </row>
    <row r="19" ht="39.75" customHeight="1">
      <c r="A19" s="4" t="inlineStr">
        <is>
          <t xml:space="preserve">4</t>
        </is>
      </c>
      <c r="B19" s="6" t="inlineStr">
        <is>
          <t xml:space="preserve">Innovative Genomics Institute, University of California Berkeley, Berkeley, CA 94720, USA</t>
        </is>
      </c>
    </row>
    <row r="20" ht="39.75" customHeight="1">
      <c r="A20" s="4" t="inlineStr">
        <is>
          <t xml:space="preserve">5</t>
        </is>
      </c>
      <c r="B20" s="6" t="inlineStr">
        <is>
          <t xml:space="preserve">Department of Biology, Stanford University, Stanford, CA 94305, USA</t>
        </is>
      </c>
    </row>
    <row r="21" ht="39.75" customHeight="1">
      <c r="A21" s="4" t="inlineStr">
        <is>
          <t xml:space="preserve">*Corresponding author</t>
        </is>
      </c>
      <c r="B21" s="6" t="inlineStr">
        <is>
          <t xml:space="preserve">Aidee Guzman, aidee.guzman@stanford.edu</t>
        </is>
      </c>
    </row>
    <row r="22" ht="39.75" customHeight="1">
      <c r="A22" s="4" t="inlineStr">
        <is>
          <t xml:space="preserve">Anh Trinh ORCID</t>
        </is>
      </c>
      <c r="B22" s="6" t="inlineStr">
        <is>
          <t xml:space="preserve">https://orcid.org/0009-0009-7191-9237</t>
        </is>
      </c>
    </row>
    <row r="23" ht="15.75" customHeight="1"/>
    <row r="24" ht="78" customHeight="1">
      <c r="A24" s="4" t="inlineStr">
        <is>
          <t xml:space="preserve">Annual Gamma summary</t>
        </is>
      </c>
      <c r="B24" s="6" t="inlineStr">
        <is>
          <t xml:space="preserve">At +0.00017 g, the equal-depth log-average polyculture / monoculture adjusted-density ratio is 7.25 (95% Wald CI 2.88-18.23; unadjusted p = 0.0000255). Depth chi-square = 183.5926 (df = 5, p = 9.14e-38); management chi-square = 17.7304 (df = 1, p = 0.0000255); interaction chi-square = 8.5722 (df = 5, p = 0.1274). The ratio is not integrated profile root mass.</t>
        </is>
      </c>
    </row>
    <row r="25" ht="78" customHeight="1">
      <c r="A25" s="4" t="inlineStr">
        <is>
          <t xml:space="preserve">Holm sensitivity</t>
        </is>
      </c>
      <c r="B25" s="6" t="inlineStr">
        <is>
          <t xml:space="preserve">Table S1 retains unadjusted p-values. In a separate Holm check across the six annual-root depths at +0.00017 g, adjusted p-values were 0.171572, 0.149319, 0.062793, 0.004198, 0.00008788 and 0.00060009 for 0-10 through 50-100 cm. The 20-30 cm comparison is not below 0.05 after adjustment. Pointwise confidence intervals are unchanged.</t>
        </is>
      </c>
    </row>
    <row r="26" ht="78" customHeight="1">
      <c r="A26" s="4" t="inlineStr">
        <is>
          <t xml:space="preserve">Annual Gamma checks</t>
        </is>
      </c>
      <c r="B26" s="6" t="inlineStr">
        <is>
          <t xml:space="preserve">Residual checks found a predictive support mismatch: simulations averaged 3.38-3.56 values per 36 below the known constant/volume floor. Some within-core residual sequences remained structured. General diagnostic tests did not reject uniformity, dispersion or outliers; this does not establish adequacy. Gamma results remain provisional supporting evidence for review.</t>
        </is>
      </c>
    </row>
    <row r="27" ht="60" customHeight="1">
      <c r="A27" s="4" t="inlineStr">
        <is>
          <t xml:space="preserve">Annual sensitivity</t>
        </is>
      </c>
      <c r="B27" s="6" t="inlineStr">
        <is>
          <t xml:space="preserve">Across half to double the added mass, the overall field comparison remained positive. Deep-layer ratios and interaction evidence were sensitive. Whole-core deletions retained the overall direction, while depth precision weakened in some cases. One field per management category limits inference to these field comparisons.</t>
        </is>
      </c>
    </row>
    <row r="28" ht="78" customHeight="1">
      <c r="A28" s="4" t="inlineStr">
        <is>
          <t xml:space="preserve">Perennial root figures</t>
        </is>
      </c>
      <c r="B28" s="6" t="inlineStr">
        <is>
          <t xml:space="preserve">Observed root profiles contains 60 measured increments: 24 orchard and 36 hedgerow records, with four intervals from 0-75 cm per actual core. Density is 1000*working_root_mass_g/volume_cm3. Lines connect observations within each core. No fitted uncertainty or root significance symbols are shown.</t>
        </is>
      </c>
    </row>
    <row r="29" ht="78" customHeight="1">
      <c r="A29" s="4" t="inlineStr">
        <is>
          <t xml:space="preserve">Perennial root tests</t>
        </is>
      </c>
      <c r="B29" s="6" t="inlineStr">
        <is>
          <t xml:space="preserve">Table S1 retains the existing full-interaction Gamma shifted-density pairwise contrasts and pointwise 95% Wald intervals. These tests use the original 0.00017-g addition before volume normalization. No model was refitted. Superseded mass-based root tests and unavailable within-depth root joint tests are excluded from the current table.</t>
        </is>
      </c>
    </row>
    <row r="30" ht="78" customHeight="1">
      <c r="A30" s="4" t="inlineStr">
        <is>
          <t xml:space="preserve">Depth scope</t>
        </is>
      </c>
      <c r="B30" s="6" t="inlineStr">
        <is>
          <t>Annual analyses cover 0-100 cm. Orchard and hedgerow analyses cover 0-75 cm. Sample data retains all 111 original records, including deeper increments; analysis_included identifies the 96 current model rows. Root-analysis depth scopes are unchanged.</t>
        </is>
      </c>
    </row>
    <row r="31" ht="96" customHeight="1">
      <c r="A31" s="4" t="str">
        <v>Stock endpoints</v>
      </c>
      <c r="B31" s="6" t="str">
        <v>Endpoint Welch reports one cumulative value per core: annual fields 0-100 cm, orchards 0-75 cm, and hedgerows 0-20 and 0-75 cm. Group summaries give mean and SD (n = 3 cores per field or margin). Tests are two-sided and unpaired. All six hedgerow pairwise p-values are adjusted together by Holm; confidence intervals are unadjusted 95% intervals. Figures show one sample SE.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0.0"/>
    <col customWidth="1" min="2" max="2" width="22.0"/>
    <col customWidth="1" min="3" max="3" width="35.0"/>
    <col customWidth="1" min="4" max="4" width="28.0"/>
    <col customWidth="1" min="5" max="5" width="12.0"/>
    <col customWidth="1" min="6" max="6" width="22.0"/>
    <col customWidth="1" min="7" max="7" width="42.0"/>
    <col customWidth="1" min="8" max="8" width="18.0"/>
    <col customWidth="1" min="9" max="11" width="15.0"/>
    <col customWidth="1" min="12" max="13" width="9.0"/>
    <col customWidth="1" min="14" max="14" width="14.0"/>
    <col customWidth="1" min="15" max="15" width="16.0"/>
    <col customWidth="1" min="16" max="16" width="12.0"/>
    <col customWidth="1" min="17" max="17" width="9.0"/>
    <col customWidth="1" min="18" max="18" width="14.0"/>
    <col customWidth="1" min="19" max="19" width="24.0"/>
    <col customWidth="1" min="20" max="26" width="8.63"/>
  </cols>
  <sheetData>
    <row r="1">
      <c r="A1" s="9" t="s">
        <v>23</v>
      </c>
      <c r="B1" s="9" t="s">
        <v>24</v>
      </c>
      <c r="C1" s="9" t="s">
        <v>25</v>
      </c>
      <c r="D1" s="9" t="s">
        <v>26</v>
      </c>
      <c r="E1" s="9" t="s">
        <v>30</v>
      </c>
      <c r="F1" s="9" t="s">
        <v>32</v>
      </c>
      <c r="G1" s="9" t="s">
        <v>36</v>
      </c>
      <c r="H1" s="9" t="s">
        <v>38</v>
      </c>
      <c r="I1" s="9" t="s">
        <v>40</v>
      </c>
      <c r="J1" s="9" t="s">
        <v>44</v>
      </c>
      <c r="K1" s="9" t="s">
        <v>47</v>
      </c>
      <c r="L1" s="9" t="s">
        <v>50</v>
      </c>
      <c r="M1" s="9" t="s">
        <v>51</v>
      </c>
      <c r="N1" s="9" t="s">
        <v>31</v>
      </c>
      <c r="O1" s="9" t="s">
        <v>34</v>
      </c>
      <c r="P1" s="9" t="s">
        <v>37</v>
      </c>
      <c r="Q1" s="9" t="s">
        <v>42</v>
      </c>
      <c r="R1" s="9" t="s">
        <v>60</v>
      </c>
      <c r="S1" s="9" t="s">
        <v>62</v>
      </c>
    </row>
    <row r="2">
      <c r="A2" s="10" t="str">
        <f t="array" ref="A2:S7">{"annual vegetables","root_density_offset_mg_cm3",'Figure values'!$C$2,"primary main-text response","0-10","pairwise contrast","monoculture / polyculture","ratio",0.376347146879625,0.0927163245846199,1.52764009573271,"","","",0.171571793926859,"0.172","","none","yes";"annual vegetables","root_density_offset_mg_cm3",'Figure values'!$C$2,"primary main-text response","10-20","pairwise contrast","monoculture / polyculture","ratio",0.287269077119382,0.072889080743158,1.13217949557921,"","","",0.0746594657508801,"0.075","†","none","yes";"annual vegetables","root_density_offset_mg_cm3",'Figure values'!$C$2,"primary main-text response","20-30","pairwise contrast","monoculture / polyculture","ratio",0.20366623586742,0.0527669654366235,0.786096666525644,"","","",0.020930919349919,"0.021","*","none","yes";"annual vegetables","root_density_offset_mg_cm3",'Figure values'!$C$2,"primary main-text response","30-40","pairwise contrast","monoculture / polyculture","ratio",0.0998022744461235,0.0251484961556936,0.396067181232398,"","","",0.00104951529321165,"0.001","**","none","yes";"annual vegetables","root_density_offset_mg_cm3",'Figure values'!$C$2,"primary main-text response","40-50","pairwise contrast","monoculture / polyculture","ratio",0.0471054992622214,0.0118300360363862,0.187567312045228,"","","",1.46467313026657e-05,"&lt;0.001","***","none","yes";"annual vegetables","root_density_offset_mg_cm3",'Figure values'!$C$2,"primary main-text response","50-100","pairwise contrast","monoculture / polyculture","ratio",0.0666013010543181,0.0167467365489363,0.264871504317637,"","","",0.000120018886953086,"&lt;0.001","***","none","yes"}</f>
        <v>annual vegetables</v>
      </c>
      <c r="B2" s="10" t="s">
        <v>59</v>
      </c>
      <c r="C2" s="10" t="s">
        <v>63</v>
      </c>
      <c r="D2" s="10" t="s">
        <v>53</v>
      </c>
      <c r="E2" s="10" t="s">
        <v>67</v>
      </c>
      <c r="F2" s="10" t="s">
        <v>129</v>
      </c>
      <c r="G2" s="10" t="s">
        <v>130</v>
      </c>
      <c r="H2" s="10" t="s">
        <v>131</v>
      </c>
      <c r="I2" s="10">
        <v>0.376347146879625</v>
      </c>
      <c r="J2" s="10">
        <v>0.0927163245846199</v>
      </c>
      <c r="K2" s="10">
        <v>1.52764009573271</v>
      </c>
      <c r="L2" s="10" t="s">
        <v>133</v>
      </c>
      <c r="M2" s="10" t="s">
        <v>133</v>
      </c>
      <c r="N2" s="10" t="s">
        <v>133</v>
      </c>
      <c r="O2" s="10">
        <v>0.171571793926859</v>
      </c>
      <c r="P2" s="10" t="inlineStr">
        <is>
          <t xml:space="preserve">0.172</t>
        </is>
      </c>
      <c r="Q2" s="10" t="s">
        <v>133</v>
      </c>
      <c r="R2" s="10" t="s">
        <v>137</v>
      </c>
      <c r="S2" s="10" t="s">
        <v>135</v>
      </c>
    </row>
    <row r="3">
      <c r="A3" s="12" t="s">
        <v>45</v>
      </c>
      <c r="B3" s="12" t="s">
        <v>59</v>
      </c>
      <c r="C3" s="12" t="s">
        <v>63</v>
      </c>
      <c r="D3" s="12" t="s">
        <v>53</v>
      </c>
      <c r="E3" s="12" t="s">
        <v>138</v>
      </c>
      <c r="F3" s="12" t="s">
        <v>129</v>
      </c>
      <c r="G3" s="12" t="s">
        <v>130</v>
      </c>
      <c r="H3" s="12" t="s">
        <v>131</v>
      </c>
      <c r="I3" s="12">
        <v>0.287269077119382</v>
      </c>
      <c r="J3" s="12">
        <v>0.072889080743158</v>
      </c>
      <c r="K3" s="12">
        <v>1.13217949557921</v>
      </c>
      <c r="L3" s="12" t="s">
        <v>133</v>
      </c>
      <c r="M3" s="12" t="s">
        <v>133</v>
      </c>
      <c r="N3" s="12" t="s">
        <v>133</v>
      </c>
      <c r="O3" s="12">
        <v>0.0746594657508801</v>
      </c>
      <c r="P3" s="12" t="inlineStr">
        <is>
          <t xml:space="preserve">0.075</t>
        </is>
      </c>
      <c r="Q3" s="12" t="inlineStr">
        <is>
          <t xml:space="preserve">†</t>
        </is>
      </c>
      <c r="R3" s="12" t="s">
        <v>137</v>
      </c>
      <c r="S3" s="12" t="s">
        <v>135</v>
      </c>
    </row>
    <row r="4">
      <c r="A4" s="12" t="s">
        <v>45</v>
      </c>
      <c r="B4" s="12" t="s">
        <v>59</v>
      </c>
      <c r="C4" s="12" t="s">
        <v>63</v>
      </c>
      <c r="D4" s="12" t="s">
        <v>53</v>
      </c>
      <c r="E4" s="12" t="s">
        <v>142</v>
      </c>
      <c r="F4" s="12" t="s">
        <v>129</v>
      </c>
      <c r="G4" s="12" t="s">
        <v>130</v>
      </c>
      <c r="H4" s="12" t="s">
        <v>131</v>
      </c>
      <c r="I4" s="12">
        <v>0.20366623586742</v>
      </c>
      <c r="J4" s="12">
        <v>0.0527669654366235</v>
      </c>
      <c r="K4" s="12">
        <v>0.786096666525644</v>
      </c>
      <c r="L4" s="12" t="s">
        <v>133</v>
      </c>
      <c r="M4" s="12" t="s">
        <v>133</v>
      </c>
      <c r="N4" s="12" t="s">
        <v>133</v>
      </c>
      <c r="O4" s="12">
        <v>0.020930919349919</v>
      </c>
      <c r="P4" s="12" t="inlineStr">
        <is>
          <t xml:space="preserve">0.021</t>
        </is>
      </c>
      <c r="Q4" s="12" t="inlineStr">
        <is>
          <t xml:space="preserve">*</t>
        </is>
      </c>
      <c r="R4" s="12" t="s">
        <v>137</v>
      </c>
      <c r="S4" s="12" t="s">
        <v>135</v>
      </c>
    </row>
    <row r="5">
      <c r="A5" s="12" t="s">
        <v>45</v>
      </c>
      <c r="B5" s="12" t="s">
        <v>59</v>
      </c>
      <c r="C5" s="12" t="s">
        <v>63</v>
      </c>
      <c r="D5" s="12" t="s">
        <v>53</v>
      </c>
      <c r="E5" s="12" t="s">
        <v>145</v>
      </c>
      <c r="F5" s="12" t="s">
        <v>129</v>
      </c>
      <c r="G5" s="12" t="s">
        <v>130</v>
      </c>
      <c r="H5" s="12" t="s">
        <v>131</v>
      </c>
      <c r="I5" s="12">
        <v>0.0998022744461235</v>
      </c>
      <c r="J5" s="12">
        <v>0.0251484961556936</v>
      </c>
      <c r="K5" s="12">
        <v>0.396067181232398</v>
      </c>
      <c r="L5" s="12" t="s">
        <v>133</v>
      </c>
      <c r="M5" s="12" t="s">
        <v>133</v>
      </c>
      <c r="N5" s="12" t="s">
        <v>133</v>
      </c>
      <c r="O5" s="12">
        <v>0.00104951529321165</v>
      </c>
      <c r="P5" s="12" t="inlineStr">
        <is>
          <t xml:space="preserve">0.001</t>
        </is>
      </c>
      <c r="Q5" s="12" t="inlineStr">
        <is>
          <t xml:space="preserve">**</t>
        </is>
      </c>
      <c r="R5" s="12" t="s">
        <v>137</v>
      </c>
      <c r="S5" s="12" t="s">
        <v>135</v>
      </c>
    </row>
    <row r="6">
      <c r="A6" s="12" t="s">
        <v>45</v>
      </c>
      <c r="B6" s="12" t="s">
        <v>59</v>
      </c>
      <c r="C6" s="12" t="s">
        <v>63</v>
      </c>
      <c r="D6" s="12" t="s">
        <v>53</v>
      </c>
      <c r="E6" s="12" t="s">
        <v>148</v>
      </c>
      <c r="F6" s="12" t="s">
        <v>129</v>
      </c>
      <c r="G6" s="12" t="s">
        <v>130</v>
      </c>
      <c r="H6" s="12" t="s">
        <v>131</v>
      </c>
      <c r="I6" s="12">
        <v>0.0471054992622214</v>
      </c>
      <c r="J6" s="12">
        <v>0.0118300360363862</v>
      </c>
      <c r="K6" s="12">
        <v>0.187567312045228</v>
      </c>
      <c r="L6" s="12" t="s">
        <v>133</v>
      </c>
      <c r="M6" s="12" t="s">
        <v>133</v>
      </c>
      <c r="N6" s="12" t="s">
        <v>133</v>
      </c>
      <c r="O6" s="12">
        <v>1.46467313026657e-05</v>
      </c>
      <c r="P6" s="12" t="inlineStr">
        <is>
          <t xml:space="preserve">&lt;0.001</t>
        </is>
      </c>
      <c r="Q6" s="12" t="inlineStr">
        <is>
          <t xml:space="preserve">***</t>
        </is>
      </c>
      <c r="R6" s="12" t="s">
        <v>137</v>
      </c>
      <c r="S6" s="12" t="s">
        <v>135</v>
      </c>
    </row>
    <row r="7">
      <c r="A7" s="12" t="s">
        <v>45</v>
      </c>
      <c r="B7" s="12" t="s">
        <v>59</v>
      </c>
      <c r="C7" s="12" t="s">
        <v>63</v>
      </c>
      <c r="D7" s="12" t="s">
        <v>53</v>
      </c>
      <c r="E7" s="12" t="s">
        <v>151</v>
      </c>
      <c r="F7" s="12" t="s">
        <v>129</v>
      </c>
      <c r="G7" s="12" t="s">
        <v>130</v>
      </c>
      <c r="H7" s="12" t="s">
        <v>131</v>
      </c>
      <c r="I7" s="12">
        <v>0.0666013010543181</v>
      </c>
      <c r="J7" s="12">
        <v>0.0167467365489363</v>
      </c>
      <c r="K7" s="12">
        <v>0.264871504317637</v>
      </c>
      <c r="L7" s="12" t="s">
        <v>133</v>
      </c>
      <c r="M7" s="12" t="s">
        <v>133</v>
      </c>
      <c r="N7" s="12" t="s">
        <v>133</v>
      </c>
      <c r="O7" s="12">
        <v>0.000120018886953086</v>
      </c>
      <c r="P7" s="12" t="inlineStr">
        <is>
          <t xml:space="preserve">&lt;0.001</t>
        </is>
      </c>
      <c r="Q7" s="12" t="inlineStr">
        <is>
          <t xml:space="preserve">***</t>
        </is>
      </c>
      <c r="R7" s="12" t="s">
        <v>137</v>
      </c>
      <c r="S7" s="12" t="s">
        <v>135</v>
      </c>
    </row>
    <row r="8">
      <c r="A8" s="12" t="s">
        <v>45</v>
      </c>
      <c r="B8" s="12" t="s">
        <v>97</v>
      </c>
      <c r="C8" s="12" t="s">
        <v>234</v>
      </c>
      <c r="D8" s="12" t="s">
        <v>53</v>
      </c>
      <c r="E8" s="12" t="s">
        <v>67</v>
      </c>
      <c r="F8" s="12" t="s">
        <v>129</v>
      </c>
      <c r="G8" s="12" t="s">
        <v>235</v>
      </c>
      <c r="H8" s="12" t="s">
        <v>236</v>
      </c>
      <c r="I8" s="12">
        <v>-22.066662107193245</v>
      </c>
      <c r="J8" s="12">
        <v>-88.01959573341477</v>
      </c>
      <c r="K8" s="12">
        <v>43.88627151902829</v>
      </c>
      <c r="L8" s="12"/>
      <c r="M8" s="12"/>
      <c r="N8" s="12"/>
      <c r="O8" s="12">
        <v>0.5119730222613319</v>
      </c>
      <c r="P8" s="12" t="s">
        <v>237</v>
      </c>
      <c r="Q8" s="12"/>
      <c r="R8" s="12" t="s">
        <v>137</v>
      </c>
      <c r="S8" s="12" t="s">
        <v>135</v>
      </c>
    </row>
    <row r="9">
      <c r="A9" s="12" t="s">
        <v>45</v>
      </c>
      <c r="B9" s="12" t="s">
        <v>97</v>
      </c>
      <c r="C9" s="12" t="s">
        <v>234</v>
      </c>
      <c r="D9" s="12" t="s">
        <v>53</v>
      </c>
      <c r="E9" s="12" t="s">
        <v>138</v>
      </c>
      <c r="F9" s="12" t="s">
        <v>129</v>
      </c>
      <c r="G9" s="12" t="s">
        <v>235</v>
      </c>
      <c r="H9" s="12" t="s">
        <v>236</v>
      </c>
      <c r="I9" s="12">
        <v>-14.433335224029314</v>
      </c>
      <c r="J9" s="12">
        <v>-80.38626885023885</v>
      </c>
      <c r="K9" s="12">
        <v>51.51959840218023</v>
      </c>
      <c r="L9" s="12"/>
      <c r="M9" s="12"/>
      <c r="N9" s="12"/>
      <c r="O9" s="12">
        <v>0.6679783008328135</v>
      </c>
      <c r="P9" s="12" t="s">
        <v>251</v>
      </c>
      <c r="Q9" s="12"/>
      <c r="R9" s="12" t="s">
        <v>137</v>
      </c>
      <c r="S9" s="12" t="s">
        <v>135</v>
      </c>
    </row>
    <row r="10">
      <c r="A10" s="12" t="s">
        <v>45</v>
      </c>
      <c r="B10" s="12" t="s">
        <v>97</v>
      </c>
      <c r="C10" s="12" t="s">
        <v>234</v>
      </c>
      <c r="D10" s="12" t="s">
        <v>53</v>
      </c>
      <c r="E10" s="12" t="s">
        <v>142</v>
      </c>
      <c r="F10" s="12" t="s">
        <v>129</v>
      </c>
      <c r="G10" s="12" t="s">
        <v>235</v>
      </c>
      <c r="H10" s="12" t="s">
        <v>236</v>
      </c>
      <c r="I10" s="12">
        <v>-16.666666670195177</v>
      </c>
      <c r="J10" s="12">
        <v>-82.61960029645488</v>
      </c>
      <c r="K10" s="12">
        <v>49.28626695606453</v>
      </c>
      <c r="L10" s="12"/>
      <c r="M10" s="12"/>
      <c r="N10" s="12"/>
      <c r="O10" s="12">
        <v>0.6203928826839268</v>
      </c>
      <c r="P10" s="12" t="s">
        <v>254</v>
      </c>
      <c r="Q10" s="12"/>
      <c r="R10" s="12" t="s">
        <v>137</v>
      </c>
      <c r="S10" s="12" t="s">
        <v>135</v>
      </c>
    </row>
    <row r="11">
      <c r="A11" s="12" t="s">
        <v>45</v>
      </c>
      <c r="B11" s="12" t="s">
        <v>97</v>
      </c>
      <c r="C11" s="12" t="s">
        <v>234</v>
      </c>
      <c r="D11" s="12" t="s">
        <v>53</v>
      </c>
      <c r="E11" s="12" t="s">
        <v>145</v>
      </c>
      <c r="F11" s="12" t="s">
        <v>129</v>
      </c>
      <c r="G11" s="12" t="s">
        <v>235</v>
      </c>
      <c r="H11" s="12" t="s">
        <v>236</v>
      </c>
      <c r="I11" s="12">
        <v>-26.833324746024875</v>
      </c>
      <c r="J11" s="12">
        <v>-92.78625837224367</v>
      </c>
      <c r="K11" s="12">
        <v>39.11960888019392</v>
      </c>
      <c r="L11" s="12"/>
      <c r="M11" s="12"/>
      <c r="N11" s="12"/>
      <c r="O11" s="12">
        <v>0.42520572370370113</v>
      </c>
      <c r="P11" s="12" t="s">
        <v>256</v>
      </c>
      <c r="Q11" s="12"/>
      <c r="R11" s="12" t="s">
        <v>137</v>
      </c>
      <c r="S11" s="12" t="s">
        <v>135</v>
      </c>
    </row>
    <row r="12">
      <c r="A12" s="12" t="s">
        <v>45</v>
      </c>
      <c r="B12" s="12" t="s">
        <v>97</v>
      </c>
      <c r="C12" s="12" t="s">
        <v>234</v>
      </c>
      <c r="D12" s="12" t="s">
        <v>53</v>
      </c>
      <c r="E12" s="12" t="s">
        <v>148</v>
      </c>
      <c r="F12" s="12" t="s">
        <v>129</v>
      </c>
      <c r="G12" s="12" t="s">
        <v>235</v>
      </c>
      <c r="H12" s="12" t="s">
        <v>236</v>
      </c>
      <c r="I12" s="12">
        <v>-50.63330463501637</v>
      </c>
      <c r="J12" s="12">
        <v>-116.58623826124364</v>
      </c>
      <c r="K12" s="12">
        <v>15.319628991210891</v>
      </c>
      <c r="L12" s="12"/>
      <c r="M12" s="12"/>
      <c r="N12" s="12"/>
      <c r="O12" s="12">
        <v>0.13240093342539147</v>
      </c>
      <c r="P12" s="12" t="s">
        <v>257</v>
      </c>
      <c r="Q12" s="12"/>
      <c r="R12" s="12" t="s">
        <v>137</v>
      </c>
      <c r="S12" s="12" t="s">
        <v>135</v>
      </c>
    </row>
    <row r="13">
      <c r="A13" s="12" t="s">
        <v>45</v>
      </c>
      <c r="B13" s="12" t="s">
        <v>97</v>
      </c>
      <c r="C13" s="12" t="s">
        <v>234</v>
      </c>
      <c r="D13" s="12" t="s">
        <v>53</v>
      </c>
      <c r="E13" s="12" t="s">
        <v>151</v>
      </c>
      <c r="F13" s="12" t="s">
        <v>129</v>
      </c>
      <c r="G13" s="12" t="s">
        <v>235</v>
      </c>
      <c r="H13" s="12" t="s">
        <v>236</v>
      </c>
      <c r="I13" s="12">
        <v>-55.16664568307011</v>
      </c>
      <c r="J13" s="12">
        <v>-121.11957930952019</v>
      </c>
      <c r="K13" s="12">
        <v>10.786287943379968</v>
      </c>
      <c r="L13" s="12"/>
      <c r="M13" s="12"/>
      <c r="N13" s="12"/>
      <c r="O13" s="12">
        <v>0.10112556597871893</v>
      </c>
      <c r="P13" s="12" t="s">
        <v>268</v>
      </c>
      <c r="Q13" s="12"/>
      <c r="R13" s="12" t="s">
        <v>137</v>
      </c>
      <c r="S13" s="12" t="s">
        <v>135</v>
      </c>
    </row>
    <row r="14">
      <c r="A14" s="12" t="s">
        <v>45</v>
      </c>
      <c r="B14" s="12" t="s">
        <v>49</v>
      </c>
      <c r="C14" s="12" t="s">
        <v>3</v>
      </c>
      <c r="D14" s="12" t="s">
        <v>53</v>
      </c>
      <c r="E14" s="12" t="s">
        <v>67</v>
      </c>
      <c r="F14" s="12" t="s">
        <v>129</v>
      </c>
      <c r="G14" s="12" t="s">
        <v>130</v>
      </c>
      <c r="H14" s="12" t="s">
        <v>131</v>
      </c>
      <c r="I14" s="12">
        <v>0.5983774275801274</v>
      </c>
      <c r="J14" s="12">
        <v>0.34790053466031257</v>
      </c>
      <c r="K14" s="12">
        <v>1.0291894095161802</v>
      </c>
      <c r="L14" s="12"/>
      <c r="M14" s="12"/>
      <c r="N14" s="12"/>
      <c r="O14" s="12">
        <v>0.06345643049021338</v>
      </c>
      <c r="P14" s="12" t="s">
        <v>278</v>
      </c>
      <c r="Q14" s="12" t="s">
        <v>115</v>
      </c>
      <c r="R14" s="12" t="s">
        <v>137</v>
      </c>
      <c r="S14" s="12" t="s">
        <v>135</v>
      </c>
    </row>
    <row r="15" ht="15.75" customHeight="1">
      <c r="A15" s="12" t="s">
        <v>45</v>
      </c>
      <c r="B15" s="12" t="s">
        <v>49</v>
      </c>
      <c r="C15" s="12" t="s">
        <v>3</v>
      </c>
      <c r="D15" s="12" t="s">
        <v>53</v>
      </c>
      <c r="E15" s="12" t="s">
        <v>138</v>
      </c>
      <c r="F15" s="12" t="s">
        <v>129</v>
      </c>
      <c r="G15" s="12" t="s">
        <v>130</v>
      </c>
      <c r="H15" s="12" t="s">
        <v>131</v>
      </c>
      <c r="I15" s="12">
        <v>0.6281823602634682</v>
      </c>
      <c r="J15" s="12">
        <v>0.3649143994573141</v>
      </c>
      <c r="K15" s="12">
        <v>1.0813853285401573</v>
      </c>
      <c r="L15" s="12"/>
      <c r="M15" s="12"/>
      <c r="N15" s="12"/>
      <c r="O15" s="12">
        <v>0.0934188578080625</v>
      </c>
      <c r="P15" s="12" t="s">
        <v>288</v>
      </c>
      <c r="Q15" s="12" t="s">
        <v>115</v>
      </c>
      <c r="R15" s="12" t="s">
        <v>137</v>
      </c>
      <c r="S15" s="12" t="s">
        <v>135</v>
      </c>
    </row>
    <row r="16" ht="15.75" customHeight="1">
      <c r="A16" s="12" t="s">
        <v>45</v>
      </c>
      <c r="B16" s="12" t="s">
        <v>49</v>
      </c>
      <c r="C16" s="12" t="s">
        <v>3</v>
      </c>
      <c r="D16" s="12" t="s">
        <v>53</v>
      </c>
      <c r="E16" s="12" t="s">
        <v>142</v>
      </c>
      <c r="F16" s="12" t="s">
        <v>129</v>
      </c>
      <c r="G16" s="12" t="s">
        <v>130</v>
      </c>
      <c r="H16" s="12" t="s">
        <v>131</v>
      </c>
      <c r="I16" s="12">
        <v>0.95471804489054</v>
      </c>
      <c r="J16" s="12">
        <v>0.5548172213076079</v>
      </c>
      <c r="K16" s="12">
        <v>1.6428591439382498</v>
      </c>
      <c r="L16" s="12"/>
      <c r="M16" s="12"/>
      <c r="N16" s="12"/>
      <c r="O16" s="12">
        <v>0.8671099972648715</v>
      </c>
      <c r="P16" s="12" t="s">
        <v>298</v>
      </c>
      <c r="Q16" s="12"/>
      <c r="R16" s="12" t="s">
        <v>137</v>
      </c>
      <c r="S16" s="12" t="s">
        <v>135</v>
      </c>
    </row>
    <row r="17" ht="15.75" customHeight="1">
      <c r="A17" s="12" t="s">
        <v>45</v>
      </c>
      <c r="B17" s="12" t="s">
        <v>49</v>
      </c>
      <c r="C17" s="12" t="s">
        <v>3</v>
      </c>
      <c r="D17" s="12" t="s">
        <v>53</v>
      </c>
      <c r="E17" s="12" t="s">
        <v>145</v>
      </c>
      <c r="F17" s="12" t="s">
        <v>129</v>
      </c>
      <c r="G17" s="12" t="s">
        <v>130</v>
      </c>
      <c r="H17" s="12" t="s">
        <v>131</v>
      </c>
      <c r="I17" s="12">
        <v>1.0755751331911734</v>
      </c>
      <c r="J17" s="12">
        <v>0.6228476677642903</v>
      </c>
      <c r="K17" s="12">
        <v>1.8573752893572868</v>
      </c>
      <c r="L17" s="12"/>
      <c r="M17" s="12"/>
      <c r="N17" s="12"/>
      <c r="O17" s="12">
        <v>0.7937994713761324</v>
      </c>
      <c r="P17" s="12" t="s">
        <v>311</v>
      </c>
      <c r="Q17" s="12"/>
      <c r="R17" s="12" t="s">
        <v>137</v>
      </c>
      <c r="S17" s="12" t="s">
        <v>135</v>
      </c>
    </row>
    <row r="18" ht="15.75" customHeight="1">
      <c r="A18" s="12" t="s">
        <v>45</v>
      </c>
      <c r="B18" s="12" t="s">
        <v>49</v>
      </c>
      <c r="C18" s="12" t="s">
        <v>3</v>
      </c>
      <c r="D18" s="12" t="s">
        <v>53</v>
      </c>
      <c r="E18" s="12" t="s">
        <v>148</v>
      </c>
      <c r="F18" s="12" t="s">
        <v>129</v>
      </c>
      <c r="G18" s="12" t="s">
        <v>130</v>
      </c>
      <c r="H18" s="12" t="s">
        <v>131</v>
      </c>
      <c r="I18" s="12">
        <v>0.5187013246602573</v>
      </c>
      <c r="J18" s="12">
        <v>0.3008416323223853</v>
      </c>
      <c r="K18" s="12">
        <v>0.8943278964660965</v>
      </c>
      <c r="L18" s="12"/>
      <c r="M18" s="12"/>
      <c r="N18" s="12"/>
      <c r="O18" s="12">
        <v>0.01818677470161014</v>
      </c>
      <c r="P18" s="12" t="s">
        <v>321</v>
      </c>
      <c r="Q18" s="12" t="s">
        <v>69</v>
      </c>
      <c r="R18" s="12" t="s">
        <v>137</v>
      </c>
      <c r="S18" s="12" t="s">
        <v>135</v>
      </c>
    </row>
    <row r="19" ht="15.75" customHeight="1">
      <c r="A19" s="12" t="s">
        <v>45</v>
      </c>
      <c r="B19" s="12" t="s">
        <v>49</v>
      </c>
      <c r="C19" s="12" t="s">
        <v>3</v>
      </c>
      <c r="D19" s="12" t="s">
        <v>53</v>
      </c>
      <c r="E19" s="12" t="s">
        <v>151</v>
      </c>
      <c r="F19" s="12" t="s">
        <v>129</v>
      </c>
      <c r="G19" s="12" t="s">
        <v>130</v>
      </c>
      <c r="H19" s="12" t="s">
        <v>131</v>
      </c>
      <c r="I19" s="12">
        <v>0.6394137179018361</v>
      </c>
      <c r="J19" s="12">
        <v>0.3700449689737461</v>
      </c>
      <c r="K19" s="12">
        <v>1.1048654539877176</v>
      </c>
      <c r="L19" s="12"/>
      <c r="M19" s="12"/>
      <c r="N19" s="12"/>
      <c r="O19" s="12">
        <v>0.10902401627898574</v>
      </c>
      <c r="P19" s="12" t="s">
        <v>336</v>
      </c>
      <c r="Q19" s="12"/>
      <c r="R19" s="12" t="s">
        <v>137</v>
      </c>
      <c r="S19" s="12" t="s">
        <v>135</v>
      </c>
    </row>
    <row r="20" ht="31.5" customHeight="1">
      <c r="A20" s="12" t="s">
        <v>79</v>
      </c>
      <c r="B20" s="11" t="inlineStr">
        <is>
          <t xml:space="preserve">root_density_offset_mg_cm3</t>
        </is>
      </c>
      <c r="C20" s="11" t="inlineStr">
        <is>
          <t xml:space="preserve">Recovered root mass density (mg cm⁻³)</t>
        </is>
      </c>
      <c r="D20" s="12" t="s">
        <v>53</v>
      </c>
      <c r="E20" s="12" t="s">
        <v>67</v>
      </c>
      <c r="F20" s="12" t="s">
        <v>129</v>
      </c>
      <c r="G20" s="12" t="s">
        <v>348</v>
      </c>
      <c r="H20" s="12" t="s">
        <v>131</v>
      </c>
      <c r="I20" s="12">
        <v>1.6894222985769292</v>
      </c>
      <c r="J20" s="12">
        <v>0.20461872819422539</v>
      </c>
      <c r="K20" s="12">
        <v>13.948614225672344</v>
      </c>
      <c r="L20" s="12"/>
      <c r="M20" s="12"/>
      <c r="N20" s="12"/>
      <c r="O20" s="12">
        <v>0.6263506279866319</v>
      </c>
      <c r="P20" s="12" t="s">
        <v>349</v>
      </c>
      <c r="Q20" s="12"/>
      <c r="R20" s="12" t="s">
        <v>137</v>
      </c>
      <c r="S20" s="12" t="inlineStr">
        <is>
          <t xml:space="preserve">no</t>
        </is>
      </c>
    </row>
    <row r="21" ht="31.5" customHeight="1">
      <c r="A21" s="12" t="s">
        <v>79</v>
      </c>
      <c r="B21" s="11" t="inlineStr">
        <is>
          <t xml:space="preserve">root_density_offset_mg_cm3</t>
        </is>
      </c>
      <c r="C21" s="11" t="inlineStr">
        <is>
          <t xml:space="preserve">Recovered root mass density (mg cm⁻³)</t>
        </is>
      </c>
      <c r="D21" s="12" t="s">
        <v>53</v>
      </c>
      <c r="E21" s="12" t="s">
        <v>138</v>
      </c>
      <c r="F21" s="12" t="s">
        <v>129</v>
      </c>
      <c r="G21" s="12" t="s">
        <v>348</v>
      </c>
      <c r="H21" s="12" t="s">
        <v>131</v>
      </c>
      <c r="I21" s="12">
        <v>4.335104414859706</v>
      </c>
      <c r="J21" s="12">
        <v>0.5207656730306786</v>
      </c>
      <c r="K21" s="12">
        <v>36.087498199269746</v>
      </c>
      <c r="L21" s="12"/>
      <c r="M21" s="12"/>
      <c r="N21" s="12"/>
      <c r="O21" s="12">
        <v>0.17492920455607044</v>
      </c>
      <c r="P21" s="12" t="s">
        <v>352</v>
      </c>
      <c r="Q21" s="12"/>
      <c r="R21" s="12" t="s">
        <v>137</v>
      </c>
      <c r="S21" s="12" t="inlineStr">
        <is>
          <t xml:space="preserve">no</t>
        </is>
      </c>
    </row>
    <row r="22" ht="31.5" customHeight="1">
      <c r="A22" s="12" t="s">
        <v>79</v>
      </c>
      <c r="B22" s="11" t="inlineStr">
        <is>
          <t xml:space="preserve">root_density_offset_mg_cm3</t>
        </is>
      </c>
      <c r="C22" s="11" t="inlineStr">
        <is>
          <t xml:space="preserve">Recovered root mass density (mg cm⁻³)</t>
        </is>
      </c>
      <c r="D22" s="12" t="s">
        <v>53</v>
      </c>
      <c r="E22" s="12" t="s">
        <v>358</v>
      </c>
      <c r="F22" s="12" t="s">
        <v>129</v>
      </c>
      <c r="G22" s="12" t="s">
        <v>348</v>
      </c>
      <c r="H22" s="12" t="s">
        <v>131</v>
      </c>
      <c r="I22" s="12">
        <v>5.837120272934857</v>
      </c>
      <c r="J22" s="12">
        <v>0.6922660451373507</v>
      </c>
      <c r="K22" s="12">
        <v>49.218033038074196</v>
      </c>
      <c r="L22" s="12"/>
      <c r="M22" s="12"/>
      <c r="N22" s="12"/>
      <c r="O22" s="12">
        <v>0.1048333207230678</v>
      </c>
      <c r="P22" s="12" t="s">
        <v>367</v>
      </c>
      <c r="Q22" s="12"/>
      <c r="R22" s="12" t="s">
        <v>137</v>
      </c>
      <c r="S22" s="12" t="inlineStr">
        <is>
          <t xml:space="preserve">no</t>
        </is>
      </c>
    </row>
    <row r="23" ht="31.5" customHeight="1">
      <c r="A23" s="12" t="s">
        <v>79</v>
      </c>
      <c r="B23" s="11" t="inlineStr">
        <is>
          <t xml:space="preserve">root_density_offset_mg_cm3</t>
        </is>
      </c>
      <c r="C23" s="11" t="inlineStr">
        <is>
          <t xml:space="preserve">Recovered root mass density (mg cm⁻³)</t>
        </is>
      </c>
      <c r="D23" s="12" t="s">
        <v>53</v>
      </c>
      <c r="E23" s="12" t="s">
        <v>368</v>
      </c>
      <c r="F23" s="12" t="s">
        <v>129</v>
      </c>
      <c r="G23" s="12" t="s">
        <v>348</v>
      </c>
      <c r="H23" s="12" t="s">
        <v>131</v>
      </c>
      <c r="I23" s="12">
        <v>4.884303779756465</v>
      </c>
      <c r="J23" s="12">
        <v>0.5641224406878118</v>
      </c>
      <c r="K23" s="12">
        <v>42.289442313012934</v>
      </c>
      <c r="L23" s="12"/>
      <c r="M23" s="12"/>
      <c r="N23" s="12"/>
      <c r="O23" s="12">
        <v>0.1498280957094745</v>
      </c>
      <c r="P23" s="12" t="s">
        <v>370</v>
      </c>
      <c r="Q23" s="12"/>
      <c r="R23" s="12" t="s">
        <v>137</v>
      </c>
      <c r="S23" s="12" t="inlineStr">
        <is>
          <t xml:space="preserve">no</t>
        </is>
      </c>
    </row>
    <row r="24" ht="15.75" customHeight="1">
      <c r="A24" s="12" t="s">
        <v>79</v>
      </c>
      <c r="B24" s="12" t="s">
        <v>97</v>
      </c>
      <c r="C24" s="12" t="s">
        <v>234</v>
      </c>
      <c r="D24" s="12" t="s">
        <v>53</v>
      </c>
      <c r="E24" s="12" t="s">
        <v>67</v>
      </c>
      <c r="F24" s="12" t="s">
        <v>129</v>
      </c>
      <c r="G24" s="12" t="s">
        <v>381</v>
      </c>
      <c r="H24" s="12" t="s">
        <v>236</v>
      </c>
      <c r="I24" s="12">
        <v>-17.33331700030086</v>
      </c>
      <c r="J24" s="12">
        <v>-62.27374539865131</v>
      </c>
      <c r="K24" s="12">
        <v>27.60711139804959</v>
      </c>
      <c r="L24" s="12"/>
      <c r="M24" s="12"/>
      <c r="N24" s="12"/>
      <c r="O24" s="12">
        <v>0.4496797051953075</v>
      </c>
      <c r="P24" s="12" t="s">
        <v>382</v>
      </c>
      <c r="Q24" s="12"/>
      <c r="R24" s="12" t="s">
        <v>137</v>
      </c>
      <c r="S24" s="12" t="s">
        <v>135</v>
      </c>
    </row>
    <row r="25" ht="15.75" customHeight="1">
      <c r="A25" s="12" t="s">
        <v>79</v>
      </c>
      <c r="B25" s="12" t="s">
        <v>97</v>
      </c>
      <c r="C25" s="12" t="s">
        <v>234</v>
      </c>
      <c r="D25" s="12" t="s">
        <v>53</v>
      </c>
      <c r="E25" s="12" t="s">
        <v>138</v>
      </c>
      <c r="F25" s="12" t="s">
        <v>129</v>
      </c>
      <c r="G25" s="12" t="s">
        <v>381</v>
      </c>
      <c r="H25" s="12" t="s">
        <v>236</v>
      </c>
      <c r="I25" s="12">
        <v>35.60002487427978</v>
      </c>
      <c r="J25" s="12">
        <v>-9.340403524063277</v>
      </c>
      <c r="K25" s="12">
        <v>80.54045327262284</v>
      </c>
      <c r="L25" s="12"/>
      <c r="M25" s="12"/>
      <c r="N25" s="12"/>
      <c r="O25" s="12">
        <v>0.12051735610721097</v>
      </c>
      <c r="P25" s="12" t="s">
        <v>384</v>
      </c>
      <c r="Q25" s="12"/>
      <c r="R25" s="12" t="s">
        <v>137</v>
      </c>
      <c r="S25" s="12" t="s">
        <v>135</v>
      </c>
    </row>
    <row r="26" ht="15.75" customHeight="1">
      <c r="A26" s="12" t="s">
        <v>79</v>
      </c>
      <c r="B26" s="12" t="s">
        <v>97</v>
      </c>
      <c r="C26" s="12" t="s">
        <v>234</v>
      </c>
      <c r="D26" s="12" t="s">
        <v>53</v>
      </c>
      <c r="E26" s="12" t="s">
        <v>358</v>
      </c>
      <c r="F26" s="12" t="s">
        <v>129</v>
      </c>
      <c r="G26" s="12" t="s">
        <v>381</v>
      </c>
      <c r="H26" s="12" t="s">
        <v>236</v>
      </c>
      <c r="I26" s="12">
        <v>87.53336658750182</v>
      </c>
      <c r="J26" s="12">
        <v>42.59293818917848</v>
      </c>
      <c r="K26" s="12">
        <v>132.47379498582515</v>
      </c>
      <c r="L26" s="12"/>
      <c r="M26" s="12"/>
      <c r="N26" s="12"/>
      <c r="O26" s="12">
        <v>1.3478452853160297E-4</v>
      </c>
      <c r="P26" s="12" t="s">
        <v>58</v>
      </c>
      <c r="Q26" s="12" t="s">
        <v>61</v>
      </c>
      <c r="R26" s="12" t="s">
        <v>137</v>
      </c>
      <c r="S26" s="12" t="s">
        <v>135</v>
      </c>
    </row>
    <row r="27" ht="15.75" customHeight="1">
      <c r="A27" s="12" t="s">
        <v>79</v>
      </c>
      <c r="B27" s="12" t="s">
        <v>97</v>
      </c>
      <c r="C27" s="12" t="s">
        <v>234</v>
      </c>
      <c r="D27" s="12" t="s">
        <v>53</v>
      </c>
      <c r="E27" s="12" t="s">
        <v>368</v>
      </c>
      <c r="F27" s="12" t="s">
        <v>129</v>
      </c>
      <c r="G27" s="12" t="s">
        <v>381</v>
      </c>
      <c r="H27" s="12" t="s">
        <v>236</v>
      </c>
      <c r="I27" s="12">
        <v>37.06668544306814</v>
      </c>
      <c r="J27" s="12">
        <v>-7.873742955250265</v>
      </c>
      <c r="K27" s="12">
        <v>82.00711384138654</v>
      </c>
      <c r="L27" s="12"/>
      <c r="M27" s="12"/>
      <c r="N27" s="12"/>
      <c r="O27" s="12">
        <v>0.10597103510299612</v>
      </c>
      <c r="P27" s="12" t="s">
        <v>388</v>
      </c>
      <c r="Q27" s="12"/>
      <c r="R27" s="12" t="s">
        <v>137</v>
      </c>
      <c r="S27" s="12" t="s">
        <v>135</v>
      </c>
    </row>
    <row r="28" ht="15.75" customHeight="1">
      <c r="A28" s="12" t="s">
        <v>79</v>
      </c>
      <c r="B28" s="12" t="s">
        <v>49</v>
      </c>
      <c r="C28" s="12" t="s">
        <v>3</v>
      </c>
      <c r="D28" s="12" t="s">
        <v>53</v>
      </c>
      <c r="E28" s="12" t="s">
        <v>67</v>
      </c>
      <c r="F28" s="12" t="s">
        <v>129</v>
      </c>
      <c r="G28" s="12" t="s">
        <v>348</v>
      </c>
      <c r="H28" s="12" t="s">
        <v>131</v>
      </c>
      <c r="I28" s="12">
        <v>0.8753598768468956</v>
      </c>
      <c r="J28" s="12">
        <v>0.6087219208760144</v>
      </c>
      <c r="K28" s="12">
        <v>1.2587930345775813</v>
      </c>
      <c r="L28" s="12"/>
      <c r="M28" s="12"/>
      <c r="N28" s="12"/>
      <c r="O28" s="12">
        <v>0.472620878786312</v>
      </c>
      <c r="P28" s="12" t="s">
        <v>390</v>
      </c>
      <c r="Q28" s="12"/>
      <c r="R28" s="12" t="s">
        <v>137</v>
      </c>
      <c r="S28" s="12" t="s">
        <v>135</v>
      </c>
    </row>
    <row r="29" ht="15.75" customHeight="1">
      <c r="A29" s="12" t="s">
        <v>79</v>
      </c>
      <c r="B29" s="12" t="s">
        <v>49</v>
      </c>
      <c r="C29" s="12" t="s">
        <v>3</v>
      </c>
      <c r="D29" s="12" t="s">
        <v>53</v>
      </c>
      <c r="E29" s="12" t="s">
        <v>138</v>
      </c>
      <c r="F29" s="12" t="s">
        <v>129</v>
      </c>
      <c r="G29" s="12" t="s">
        <v>348</v>
      </c>
      <c r="H29" s="12" t="s">
        <v>131</v>
      </c>
      <c r="I29" s="12">
        <v>1.6850681478510823</v>
      </c>
      <c r="J29" s="12">
        <v>1.1707111412437678</v>
      </c>
      <c r="K29" s="12">
        <v>2.425410131388713</v>
      </c>
      <c r="L29" s="12"/>
      <c r="M29" s="12"/>
      <c r="N29" s="12"/>
      <c r="O29" s="12">
        <v>0.00498236850575582</v>
      </c>
      <c r="P29" s="12" t="s">
        <v>391</v>
      </c>
      <c r="Q29" s="12" t="s">
        <v>92</v>
      </c>
      <c r="R29" s="12" t="s">
        <v>137</v>
      </c>
      <c r="S29" s="12" t="s">
        <v>135</v>
      </c>
    </row>
    <row r="30" ht="15.75" customHeight="1">
      <c r="A30" s="12" t="s">
        <v>79</v>
      </c>
      <c r="B30" s="12" t="s">
        <v>49</v>
      </c>
      <c r="C30" s="12" t="s">
        <v>3</v>
      </c>
      <c r="D30" s="12" t="s">
        <v>53</v>
      </c>
      <c r="E30" s="12" t="s">
        <v>358</v>
      </c>
      <c r="F30" s="12" t="s">
        <v>129</v>
      </c>
      <c r="G30" s="12" t="s">
        <v>348</v>
      </c>
      <c r="H30" s="12" t="s">
        <v>131</v>
      </c>
      <c r="I30" s="12">
        <v>1.5728115829708942</v>
      </c>
      <c r="J30" s="12">
        <v>1.0934522850326533</v>
      </c>
      <c r="K30" s="12">
        <v>2.2623175326333858</v>
      </c>
      <c r="L30" s="12"/>
      <c r="M30" s="12"/>
      <c r="N30" s="12"/>
      <c r="O30" s="12">
        <v>0.014620517046255539</v>
      </c>
      <c r="P30" s="12" t="s">
        <v>76</v>
      </c>
      <c r="Q30" s="12" t="s">
        <v>69</v>
      </c>
      <c r="R30" s="12" t="s">
        <v>137</v>
      </c>
      <c r="S30" s="12" t="s">
        <v>135</v>
      </c>
    </row>
    <row r="31" ht="15.75" customHeight="1">
      <c r="A31" s="12" t="s">
        <v>79</v>
      </c>
      <c r="B31" s="12" t="s">
        <v>49</v>
      </c>
      <c r="C31" s="12" t="s">
        <v>3</v>
      </c>
      <c r="D31" s="12" t="s">
        <v>53</v>
      </c>
      <c r="E31" s="12" t="s">
        <v>368</v>
      </c>
      <c r="F31" s="12" t="s">
        <v>129</v>
      </c>
      <c r="G31" s="12" t="s">
        <v>348</v>
      </c>
      <c r="H31" s="12" t="s">
        <v>131</v>
      </c>
      <c r="I31" s="12">
        <v>1.577738129172247</v>
      </c>
      <c r="J31" s="12">
        <v>1.096323730364211</v>
      </c>
      <c r="K31" s="12">
        <v>2.2705497795044374</v>
      </c>
      <c r="L31" s="12"/>
      <c r="M31" s="12"/>
      <c r="N31" s="12"/>
      <c r="O31" s="12">
        <v>0.0140846487256253</v>
      </c>
      <c r="P31" s="12" t="s">
        <v>101</v>
      </c>
      <c r="Q31" s="12" t="s">
        <v>69</v>
      </c>
      <c r="R31" s="12" t="s">
        <v>137</v>
      </c>
      <c r="S31" s="12" t="s">
        <v>135</v>
      </c>
    </row>
    <row r="32" ht="31.5" customHeight="1">
      <c r="A32" s="12" t="s">
        <v>128</v>
      </c>
      <c r="B32" s="11" t="inlineStr">
        <is>
          <t xml:space="preserve">root_density_offset_mg_cm3</t>
        </is>
      </c>
      <c r="C32" s="11" t="inlineStr">
        <is>
          <t xml:space="preserve">Recovered root mass density (mg cm⁻³)</t>
        </is>
      </c>
      <c r="D32" s="12" t="s">
        <v>53</v>
      </c>
      <c r="E32" s="12" t="s">
        <v>67</v>
      </c>
      <c r="F32" s="12" t="s">
        <v>129</v>
      </c>
      <c r="G32" s="12" t="s">
        <v>399</v>
      </c>
      <c r="H32" s="12" t="s">
        <v>131</v>
      </c>
      <c r="I32" s="12">
        <v>3.92287326493358</v>
      </c>
      <c r="J32" s="12">
        <v>0.49017135786428717</v>
      </c>
      <c r="K32" s="12">
        <v>31.395009940567252</v>
      </c>
      <c r="L32" s="12"/>
      <c r="M32" s="12"/>
      <c r="N32" s="12"/>
      <c r="O32" s="12">
        <v>0.19772714541713537</v>
      </c>
      <c r="P32" s="12" t="inlineStr">
        <is>
          <t xml:space="preserve">0.198</t>
        </is>
      </c>
      <c r="Q32" s="12"/>
      <c r="R32" s="12" t="s">
        <v>137</v>
      </c>
      <c r="S32" s="12" t="s">
        <v>401</v>
      </c>
    </row>
    <row r="33" ht="31.5" customHeight="1">
      <c r="A33" s="12" t="s">
        <v>128</v>
      </c>
      <c r="B33" s="11" t="inlineStr">
        <is>
          <t xml:space="preserve">root_density_offset_mg_cm3</t>
        </is>
      </c>
      <c r="C33" s="11" t="inlineStr">
        <is>
          <t xml:space="preserve">Recovered root mass density (mg cm⁻³)</t>
        </is>
      </c>
      <c r="D33" s="12" t="s">
        <v>53</v>
      </c>
      <c r="E33" s="12" t="s">
        <v>67</v>
      </c>
      <c r="F33" s="12" t="s">
        <v>129</v>
      </c>
      <c r="G33" s="12" t="s">
        <v>403</v>
      </c>
      <c r="H33" s="12" t="s">
        <v>131</v>
      </c>
      <c r="I33" s="12">
        <v>0.31073781784002813</v>
      </c>
      <c r="J33" s="12">
        <v>0.03882723571581762</v>
      </c>
      <c r="K33" s="12">
        <v>2.4868623700823043</v>
      </c>
      <c r="L33" s="12"/>
      <c r="M33" s="12"/>
      <c r="N33" s="12"/>
      <c r="O33" s="12">
        <v>0.27070271679231933</v>
      </c>
      <c r="P33" s="12" t="inlineStr">
        <is>
          <t xml:space="preserve">0.271</t>
        </is>
      </c>
      <c r="Q33" s="12"/>
      <c r="R33" s="12" t="s">
        <v>137</v>
      </c>
      <c r="S33" s="12" t="s">
        <v>401</v>
      </c>
    </row>
    <row r="34" ht="31.5" customHeight="1">
      <c r="A34" s="12" t="s">
        <v>128</v>
      </c>
      <c r="B34" s="11" t="inlineStr">
        <is>
          <t xml:space="preserve">root_density_offset_mg_cm3</t>
        </is>
      </c>
      <c r="C34" s="11" t="inlineStr">
        <is>
          <t xml:space="preserve">Recovered root mass density (mg cm⁻³)</t>
        </is>
      </c>
      <c r="D34" s="12" t="s">
        <v>53</v>
      </c>
      <c r="E34" s="12" t="s">
        <v>67</v>
      </c>
      <c r="F34" s="12" t="s">
        <v>129</v>
      </c>
      <c r="G34" s="12" t="s">
        <v>406</v>
      </c>
      <c r="H34" s="12" t="s">
        <v>131</v>
      </c>
      <c r="I34" s="12">
        <v>1.2189850780084472</v>
      </c>
      <c r="J34" s="12">
        <v>0.15231415621151975</v>
      </c>
      <c r="K34" s="12">
        <v>9.755656712195195</v>
      </c>
      <c r="L34" s="12"/>
      <c r="M34" s="12"/>
      <c r="N34" s="12"/>
      <c r="O34" s="12">
        <v>0.8519692487147432</v>
      </c>
      <c r="P34" s="12" t="inlineStr">
        <is>
          <t xml:space="preserve">0.852</t>
        </is>
      </c>
      <c r="Q34" s="12"/>
      <c r="R34" s="12" t="s">
        <v>137</v>
      </c>
      <c r="S34" s="12" t="s">
        <v>401</v>
      </c>
    </row>
    <row r="35" ht="31.5" customHeight="1">
      <c r="A35" s="12" t="s">
        <v>128</v>
      </c>
      <c r="B35" s="11" t="inlineStr">
        <is>
          <t xml:space="preserve">root_density_offset_mg_cm3</t>
        </is>
      </c>
      <c r="C35" s="11" t="inlineStr">
        <is>
          <t xml:space="preserve">Recovered root mass density (mg cm⁻³)</t>
        </is>
      </c>
      <c r="D35" s="12" t="s">
        <v>53</v>
      </c>
      <c r="E35" s="12" t="s">
        <v>138</v>
      </c>
      <c r="F35" s="12" t="s">
        <v>129</v>
      </c>
      <c r="G35" s="12" t="s">
        <v>399</v>
      </c>
      <c r="H35" s="12" t="s">
        <v>131</v>
      </c>
      <c r="I35" s="12">
        <v>2.4825179621301148</v>
      </c>
      <c r="J35" s="12">
        <v>0.3101946512765684</v>
      </c>
      <c r="K35" s="12">
        <v>19.86783268807508</v>
      </c>
      <c r="L35" s="12"/>
      <c r="M35" s="12"/>
      <c r="N35" s="12"/>
      <c r="O35" s="12">
        <v>0.39151666238746535</v>
      </c>
      <c r="P35" s="12" t="inlineStr">
        <is>
          <t xml:space="preserve">0.392</t>
        </is>
      </c>
      <c r="Q35" s="12"/>
      <c r="R35" s="12" t="s">
        <v>137</v>
      </c>
      <c r="S35" s="12" t="s">
        <v>401</v>
      </c>
    </row>
    <row r="36" ht="31.5" customHeight="1">
      <c r="A36" s="12" t="s">
        <v>128</v>
      </c>
      <c r="B36" s="11" t="inlineStr">
        <is>
          <t xml:space="preserve">root_density_offset_mg_cm3</t>
        </is>
      </c>
      <c r="C36" s="11" t="inlineStr">
        <is>
          <t xml:space="preserve">Recovered root mass density (mg cm⁻³)</t>
        </is>
      </c>
      <c r="D36" s="12" t="s">
        <v>53</v>
      </c>
      <c r="E36" s="12" t="s">
        <v>138</v>
      </c>
      <c r="F36" s="12" t="s">
        <v>129</v>
      </c>
      <c r="G36" s="12" t="s">
        <v>403</v>
      </c>
      <c r="H36" s="12" t="s">
        <v>131</v>
      </c>
      <c r="I36" s="12">
        <v>0.014065972414838595</v>
      </c>
      <c r="J36" s="12">
        <v>0.0017575721673025358</v>
      </c>
      <c r="K36" s="12">
        <v>0.11257095649088276</v>
      </c>
      <c r="L36" s="12"/>
      <c r="M36" s="12"/>
      <c r="N36" s="12"/>
      <c r="O36" s="12">
        <v>5.862928366170035e-05</v>
      </c>
      <c r="P36" s="12" t="s">
        <v>58</v>
      </c>
      <c r="Q36" s="12" t="s">
        <v>61</v>
      </c>
      <c r="R36" s="12" t="s">
        <v>137</v>
      </c>
      <c r="S36" s="12" t="s">
        <v>401</v>
      </c>
    </row>
    <row r="37" ht="31.5" customHeight="1">
      <c r="A37" s="12" t="s">
        <v>128</v>
      </c>
      <c r="B37" s="11" t="inlineStr">
        <is>
          <t xml:space="preserve">root_density_offset_mg_cm3</t>
        </is>
      </c>
      <c r="C37" s="11" t="inlineStr">
        <is>
          <t xml:space="preserve">Recovered root mass density (mg cm⁻³)</t>
        </is>
      </c>
      <c r="D37" s="12" t="s">
        <v>53</v>
      </c>
      <c r="E37" s="12" t="s">
        <v>138</v>
      </c>
      <c r="F37" s="12" t="s">
        <v>129</v>
      </c>
      <c r="G37" s="12" t="s">
        <v>406</v>
      </c>
      <c r="H37" s="12" t="s">
        <v>131</v>
      </c>
      <c r="I37" s="12">
        <v>0.03491902917466352</v>
      </c>
      <c r="J37" s="12">
        <v>0.004363208715529339</v>
      </c>
      <c r="K37" s="12">
        <v>0.27945914990524867</v>
      </c>
      <c r="L37" s="12"/>
      <c r="M37" s="12"/>
      <c r="N37" s="12"/>
      <c r="O37" s="12">
        <v>0.001570177172962304</v>
      </c>
      <c r="P37" s="12" t="inlineStr">
        <is>
          <t xml:space="preserve">0.002</t>
        </is>
      </c>
      <c r="Q37" s="12" t="s">
        <v>92</v>
      </c>
      <c r="R37" s="12" t="s">
        <v>137</v>
      </c>
      <c r="S37" s="12" t="s">
        <v>401</v>
      </c>
    </row>
    <row r="38" ht="31.5" customHeight="1">
      <c r="A38" s="12" t="s">
        <v>128</v>
      </c>
      <c r="B38" s="11" t="inlineStr">
        <is>
          <t xml:space="preserve">root_density_offset_mg_cm3</t>
        </is>
      </c>
      <c r="C38" s="11" t="inlineStr">
        <is>
          <t xml:space="preserve">Recovered root mass density (mg cm⁻³)</t>
        </is>
      </c>
      <c r="D38" s="12" t="s">
        <v>53</v>
      </c>
      <c r="E38" s="12" t="s">
        <v>358</v>
      </c>
      <c r="F38" s="12" t="s">
        <v>129</v>
      </c>
      <c r="G38" s="12" t="s">
        <v>399</v>
      </c>
      <c r="H38" s="12" t="s">
        <v>131</v>
      </c>
      <c r="I38" s="12">
        <v>0.1831286851163095</v>
      </c>
      <c r="J38" s="12">
        <v>0.02288223135064566</v>
      </c>
      <c r="K38" s="12">
        <v>1.465596374694558</v>
      </c>
      <c r="L38" s="12"/>
      <c r="M38" s="12"/>
      <c r="N38" s="12"/>
      <c r="O38" s="12">
        <v>0.10965799715178202</v>
      </c>
      <c r="P38" s="12" t="inlineStr">
        <is>
          <t xml:space="preserve">0.110</t>
        </is>
      </c>
      <c r="Q38" s="12"/>
      <c r="R38" s="12" t="s">
        <v>137</v>
      </c>
      <c r="S38" s="12" t="s">
        <v>401</v>
      </c>
    </row>
    <row r="39" ht="31.5" customHeight="1">
      <c r="A39" s="12" t="s">
        <v>128</v>
      </c>
      <c r="B39" s="11" t="inlineStr">
        <is>
          <t xml:space="preserve">root_density_offset_mg_cm3</t>
        </is>
      </c>
      <c r="C39" s="11" t="inlineStr">
        <is>
          <t xml:space="preserve">Recovered root mass density (mg cm⁻³)</t>
        </is>
      </c>
      <c r="D39" s="12" t="s">
        <v>53</v>
      </c>
      <c r="E39" s="12" t="s">
        <v>358</v>
      </c>
      <c r="F39" s="12" t="s">
        <v>129</v>
      </c>
      <c r="G39" s="12" t="s">
        <v>403</v>
      </c>
      <c r="H39" s="12" t="s">
        <v>131</v>
      </c>
      <c r="I39" s="12">
        <v>0.068630406988531</v>
      </c>
      <c r="J39" s="12">
        <v>0.008575513779437537</v>
      </c>
      <c r="K39" s="12">
        <v>0.549253710571303</v>
      </c>
      <c r="L39" s="12"/>
      <c r="M39" s="12"/>
      <c r="N39" s="12"/>
      <c r="O39" s="12">
        <v>0.01158211285328871</v>
      </c>
      <c r="P39" s="12" t="inlineStr">
        <is>
          <t xml:space="preserve">0.012</t>
        </is>
      </c>
      <c r="Q39" s="12" t="s">
        <v>69</v>
      </c>
      <c r="R39" s="12" t="s">
        <v>137</v>
      </c>
      <c r="S39" s="12" t="s">
        <v>401</v>
      </c>
    </row>
    <row r="40" ht="31.5" customHeight="1">
      <c r="A40" s="12" t="s">
        <v>128</v>
      </c>
      <c r="B40" s="11" t="inlineStr">
        <is>
          <t xml:space="preserve">root_density_offset_mg_cm3</t>
        </is>
      </c>
      <c r="C40" s="11" t="inlineStr">
        <is>
          <t xml:space="preserve">Recovered root mass density (mg cm⁻³)</t>
        </is>
      </c>
      <c r="D40" s="12" t="s">
        <v>53</v>
      </c>
      <c r="E40" s="12" t="s">
        <v>358</v>
      </c>
      <c r="F40" s="12" t="s">
        <v>129</v>
      </c>
      <c r="G40" s="12" t="s">
        <v>406</v>
      </c>
      <c r="H40" s="12" t="s">
        <v>131</v>
      </c>
      <c r="I40" s="12">
        <v>0.012568196190806867</v>
      </c>
      <c r="J40" s="12">
        <v>0.0015704242172084892</v>
      </c>
      <c r="K40" s="12">
        <v>0.10058400383776148</v>
      </c>
      <c r="L40" s="12"/>
      <c r="M40" s="12"/>
      <c r="N40" s="12"/>
      <c r="O40" s="12">
        <v>3.717602835022333e-05</v>
      </c>
      <c r="P40" s="12" t="s">
        <v>58</v>
      </c>
      <c r="Q40" s="12" t="s">
        <v>61</v>
      </c>
      <c r="R40" s="12" t="s">
        <v>137</v>
      </c>
      <c r="S40" s="12" t="s">
        <v>401</v>
      </c>
    </row>
    <row r="41" ht="31.5" customHeight="1">
      <c r="A41" s="12" t="s">
        <v>128</v>
      </c>
      <c r="B41" s="11" t="inlineStr">
        <is>
          <t xml:space="preserve">root_density_offset_mg_cm3</t>
        </is>
      </c>
      <c r="C41" s="11" t="inlineStr">
        <is>
          <t xml:space="preserve">Recovered root mass density (mg cm⁻³)</t>
        </is>
      </c>
      <c r="D41" s="12" t="s">
        <v>53</v>
      </c>
      <c r="E41" s="12" t="s">
        <v>368</v>
      </c>
      <c r="F41" s="12" t="s">
        <v>129</v>
      </c>
      <c r="G41" s="12" t="s">
        <v>399</v>
      </c>
      <c r="H41" s="12" t="s">
        <v>131</v>
      </c>
      <c r="I41" s="12">
        <v>0.13297924424704022</v>
      </c>
      <c r="J41" s="12">
        <v>0.016616060943288106</v>
      </c>
      <c r="K41" s="12">
        <v>1.0642401626275353</v>
      </c>
      <c r="L41" s="12"/>
      <c r="M41" s="12"/>
      <c r="N41" s="12"/>
      <c r="O41" s="12">
        <v>0.057263909666990985</v>
      </c>
      <c r="P41" s="12" t="inlineStr">
        <is>
          <t xml:space="preserve">0.057</t>
        </is>
      </c>
      <c r="Q41" s="12" t="s">
        <v>115</v>
      </c>
      <c r="R41" s="12" t="s">
        <v>137</v>
      </c>
      <c r="S41" s="12" t="s">
        <v>401</v>
      </c>
    </row>
    <row r="42" ht="31.5" customHeight="1">
      <c r="A42" s="12" t="s">
        <v>128</v>
      </c>
      <c r="B42" s="11" t="inlineStr">
        <is>
          <t xml:space="preserve">root_density_offset_mg_cm3</t>
        </is>
      </c>
      <c r="C42" s="11" t="inlineStr">
        <is>
          <t xml:space="preserve">Recovered root mass density (mg cm⁻³)</t>
        </is>
      </c>
      <c r="D42" s="12" t="s">
        <v>53</v>
      </c>
      <c r="E42" s="12" t="s">
        <v>368</v>
      </c>
      <c r="F42" s="12" t="s">
        <v>129</v>
      </c>
      <c r="G42" s="12" t="s">
        <v>403</v>
      </c>
      <c r="H42" s="12" t="s">
        <v>131</v>
      </c>
      <c r="I42" s="12">
        <v>0.012595350377737353</v>
      </c>
      <c r="J42" s="12">
        <v>0.0015738096307851325</v>
      </c>
      <c r="K42" s="12">
        <v>0.10080180476391273</v>
      </c>
      <c r="L42" s="12"/>
      <c r="M42" s="12"/>
      <c r="N42" s="12"/>
      <c r="O42" s="12">
        <v>3.7507433884567616e-05</v>
      </c>
      <c r="P42" s="12" t="s">
        <v>58</v>
      </c>
      <c r="Q42" s="12" t="s">
        <v>61</v>
      </c>
      <c r="R42" s="12" t="s">
        <v>137</v>
      </c>
      <c r="S42" s="12" t="s">
        <v>401</v>
      </c>
    </row>
    <row r="43" ht="31.5" customHeight="1">
      <c r="A43" s="12" t="s">
        <v>128</v>
      </c>
      <c r="B43" s="11" t="inlineStr">
        <is>
          <t xml:space="preserve">root_density_offset_mg_cm3</t>
        </is>
      </c>
      <c r="C43" s="11" t="inlineStr">
        <is>
          <t xml:space="preserve">Recovered root mass density (mg cm⁻³)</t>
        </is>
      </c>
      <c r="D43" s="12" t="s">
        <v>53</v>
      </c>
      <c r="E43" s="12" t="s">
        <v>368</v>
      </c>
      <c r="F43" s="12" t="s">
        <v>129</v>
      </c>
      <c r="G43" s="12" t="s">
        <v>406</v>
      </c>
      <c r="H43" s="12" t="s">
        <v>131</v>
      </c>
      <c r="I43" s="12">
        <v>0.0016749201742581859</v>
      </c>
      <c r="J43" s="12">
        <v>0.00020928417146652908</v>
      </c>
      <c r="K43" s="12">
        <v>0.013404537813246587</v>
      </c>
      <c r="L43" s="12"/>
      <c r="M43" s="12"/>
      <c r="N43" s="12"/>
      <c r="O43" s="12">
        <v>1.7056995365699058e-09</v>
      </c>
      <c r="P43" s="12" t="s">
        <v>58</v>
      </c>
      <c r="Q43" s="12" t="s">
        <v>61</v>
      </c>
      <c r="R43" s="12" t="s">
        <v>137</v>
      </c>
      <c r="S43" s="12" t="s">
        <v>401</v>
      </c>
    </row>
    <row r="44" ht="15.75" customHeight="1">
      <c r="A44" s="12" t="s">
        <v>128</v>
      </c>
      <c r="B44" s="12" t="inlineStr">
        <is>
          <t>del14c</t>
        </is>
      </c>
      <c r="C44" s="12" t="inlineStr">
        <is>
          <t>Delta^14 * C</t>
        </is>
      </c>
      <c r="D44" s="12" t="s">
        <v>53</v>
      </c>
      <c r="E44" s="12" t="inlineStr">
        <is>
          <t>0-10</t>
        </is>
      </c>
      <c r="F44" s="12" t="s">
        <v>394</v>
      </c>
      <c r="G44" s="12" t="s">
        <v>395</v>
      </c>
      <c r="H44" s="12"/>
      <c r="I44" s="12"/>
      <c r="J44" s="12"/>
      <c r="K44" s="12"/>
      <c r="L44" s="12">
        <v>2.0</v>
      </c>
      <c r="M44" s="12" t="s">
        <v>396</v>
      </c>
      <c r="N44" s="12">
        <v>4.242</v>
      </c>
      <c r="O44" s="12">
        <v>0.014372189135351654</v>
      </c>
      <c r="P44" s="12" t="inlineStr">
        <is>
          <t>0.014</t>
        </is>
      </c>
      <c r="Q44" s="12" t="inlineStr">
        <is>
          <t>*</t>
        </is>
      </c>
      <c r="R44" s="12" t="s">
        <v>137</v>
      </c>
      <c r="S44" s="12" t="s">
        <v>135</v>
      </c>
    </row>
    <row r="45" ht="15.75" customHeight="1">
      <c r="A45" s="12" t="s">
        <v>128</v>
      </c>
      <c r="B45" s="12" t="inlineStr">
        <is>
          <t>del14c</t>
        </is>
      </c>
      <c r="C45" s="12" t="inlineStr">
        <is>
          <t>Delta^14 * C</t>
        </is>
      </c>
      <c r="D45" s="12" t="s">
        <v>53</v>
      </c>
      <c r="E45" s="12" t="inlineStr">
        <is>
          <t>0-10</t>
        </is>
      </c>
      <c r="F45" s="12" t="s">
        <v>129</v>
      </c>
      <c r="G45" s="12" t="inlineStr">
        <is>
          <t>bare field margin - (10-year-old hedgerow)</t>
        </is>
      </c>
      <c r="H45" s="12" t="inlineStr">
        <is>
          <t>estimate</t>
        </is>
      </c>
      <c r="I45" s="12">
        <v>-78.53300737272198</v>
      </c>
      <c r="J45" s="12">
        <v>-149.7733811415074</v>
      </c>
      <c r="K45" s="12">
        <v>-7.292633603936579</v>
      </c>
      <c r="L45" s="12"/>
      <c r="M45" s="12"/>
      <c r="N45" s="12"/>
      <c r="O45" s="12">
        <v>0.030726344235596392</v>
      </c>
      <c r="P45" s="12" t="inlineStr">
        <is>
          <t>0.031</t>
        </is>
      </c>
      <c r="Q45" s="12" t="inlineStr">
        <is>
          <t>*</t>
        </is>
      </c>
      <c r="R45" s="12" t="s">
        <v>137</v>
      </c>
      <c r="S45" s="12" t="s">
        <v>401</v>
      </c>
    </row>
    <row r="46" ht="15.75" customHeight="1">
      <c r="A46" s="12" t="s">
        <v>128</v>
      </c>
      <c r="B46" s="12" t="inlineStr">
        <is>
          <t>del14c</t>
        </is>
      </c>
      <c r="C46" s="12" t="inlineStr">
        <is>
          <t>Delta^14 * C</t>
        </is>
      </c>
      <c r="D46" s="12" t="s">
        <v>53</v>
      </c>
      <c r="E46" s="12" t="inlineStr">
        <is>
          <t>0-10</t>
        </is>
      </c>
      <c r="F46" s="12" t="s">
        <v>129</v>
      </c>
      <c r="G46" s="12" t="inlineStr">
        <is>
          <t>bare field margin - (30-year-old hedgerow)</t>
        </is>
      </c>
      <c r="H46" s="12" t="inlineStr">
        <is>
          <t>estimate</t>
        </is>
      </c>
      <c r="I46" s="12">
        <v>-100.76360399909821</v>
      </c>
      <c r="J46" s="12">
        <v>-172.00397776783262</v>
      </c>
      <c r="K46" s="12">
        <v>-29.523230230363794</v>
      </c>
      <c r="L46" s="12"/>
      <c r="M46" s="12"/>
      <c r="N46" s="12"/>
      <c r="O46" s="12">
        <v>0.005567768543842579</v>
      </c>
      <c r="P46" s="12" t="inlineStr">
        <is>
          <t>0.006</t>
        </is>
      </c>
      <c r="Q46" s="12" t="inlineStr">
        <is>
          <t>**</t>
        </is>
      </c>
      <c r="R46" s="12" t="s">
        <v>137</v>
      </c>
      <c r="S46" s="12" t="s">
        <v>401</v>
      </c>
    </row>
    <row r="47" ht="15.75" customHeight="1">
      <c r="A47" s="12" t="s">
        <v>128</v>
      </c>
      <c r="B47" s="12" t="inlineStr">
        <is>
          <t>del14c</t>
        </is>
      </c>
      <c r="C47" s="12" t="inlineStr">
        <is>
          <t>Delta^14 * C</t>
        </is>
      </c>
      <c r="D47" s="12" t="s">
        <v>53</v>
      </c>
      <c r="E47" s="12" t="inlineStr">
        <is>
          <t>0-10</t>
        </is>
      </c>
      <c r="F47" s="12" t="s">
        <v>129</v>
      </c>
      <c r="G47" s="12" t="inlineStr">
        <is>
          <t>(10-year-old hedgerow) - (30-year-old hedgerow)</t>
        </is>
      </c>
      <c r="H47" s="12" t="inlineStr">
        <is>
          <t>estimate</t>
        </is>
      </c>
      <c r="I47" s="12">
        <v>-22.230596626376226</v>
      </c>
      <c r="J47" s="12">
        <v>-93.47097039523685</v>
      </c>
      <c r="K47" s="12">
        <v>49.009777142484396</v>
      </c>
      <c r="L47" s="12"/>
      <c r="M47" s="12"/>
      <c r="N47" s="12"/>
      <c r="O47" s="12">
        <v>0.5407972718368534</v>
      </c>
      <c r="P47" s="12" t="inlineStr">
        <is>
          <t>0.541</t>
        </is>
      </c>
      <c r="Q47" s="12"/>
      <c r="R47" s="12" t="s">
        <v>137</v>
      </c>
      <c r="S47" s="12" t="s">
        <v>401</v>
      </c>
    </row>
    <row r="48" ht="15.75" customHeight="1">
      <c r="A48" s="12" t="s">
        <v>128</v>
      </c>
      <c r="B48" s="12" t="s">
        <v>97</v>
      </c>
      <c r="C48" s="12" t="inlineStr">
        <is>
          <t>Delta^14 * C</t>
        </is>
      </c>
      <c r="D48" s="12" t="s">
        <v>53</v>
      </c>
      <c r="E48" s="12" t="inlineStr">
        <is>
          <t>10-20</t>
        </is>
      </c>
      <c r="F48" s="12" t="s">
        <v>394</v>
      </c>
      <c r="G48" s="12" t="s">
        <v>395</v>
      </c>
      <c r="H48" s="12"/>
      <c r="I48" s="12"/>
      <c r="J48" s="12"/>
      <c r="K48" s="12"/>
      <c r="L48" s="12">
        <v>2.0</v>
      </c>
      <c r="M48" s="12" t="s">
        <v>396</v>
      </c>
      <c r="N48" s="12">
        <v>0.188</v>
      </c>
      <c r="O48" s="12">
        <v>0.8289382465031538</v>
      </c>
      <c r="P48" s="12" t="inlineStr">
        <is>
          <t>0.829</t>
        </is>
      </c>
      <c r="Q48" s="12"/>
      <c r="R48" s="12" t="s">
        <v>137</v>
      </c>
      <c r="S48" s="12" t="s">
        <v>135</v>
      </c>
    </row>
    <row r="49" ht="15.75" customHeight="1">
      <c r="A49" s="12" t="s">
        <v>128</v>
      </c>
      <c r="B49" s="12" t="s">
        <v>97</v>
      </c>
      <c r="C49" s="12" t="inlineStr">
        <is>
          <t>Delta^14 * C</t>
        </is>
      </c>
      <c r="D49" s="12" t="s">
        <v>53</v>
      </c>
      <c r="E49" s="12" t="inlineStr">
        <is>
          <t>10-20</t>
        </is>
      </c>
      <c r="F49" s="12" t="s">
        <v>129</v>
      </c>
      <c r="G49" s="12" t="inlineStr">
        <is>
          <t>bare field margin - (10-year-old hedgerow)</t>
        </is>
      </c>
      <c r="H49" s="12" t="s">
        <v>236</v>
      </c>
      <c r="I49" s="12">
        <v>-11.148415389894843</v>
      </c>
      <c r="J49" s="12">
        <v>-82.38878915884254</v>
      </c>
      <c r="K49" s="12">
        <v>60.09195837905285</v>
      </c>
      <c r="L49" s="12"/>
      <c r="M49" s="12"/>
      <c r="N49" s="12"/>
      <c r="O49" s="12">
        <v>0.7590602963572094</v>
      </c>
      <c r="P49" s="12" t="inlineStr">
        <is>
          <t>0.759</t>
        </is>
      </c>
      <c r="Q49" s="12"/>
      <c r="R49" s="12" t="s">
        <v>137</v>
      </c>
      <c r="S49" s="12" t="s">
        <v>401</v>
      </c>
    </row>
    <row r="50" ht="15.75" customHeight="1">
      <c r="A50" s="12" t="s">
        <v>128</v>
      </c>
      <c r="B50" s="12" t="s">
        <v>97</v>
      </c>
      <c r="C50" s="12" t="inlineStr">
        <is>
          <t>Delta^14 * C</t>
        </is>
      </c>
      <c r="D50" s="12" t="s">
        <v>53</v>
      </c>
      <c r="E50" s="12" t="inlineStr">
        <is>
          <t>10-20</t>
        </is>
      </c>
      <c r="F50" s="12" t="s">
        <v>129</v>
      </c>
      <c r="G50" s="12" t="inlineStr">
        <is>
          <t>bare field margin - (30-year-old hedgerow)</t>
        </is>
      </c>
      <c r="H50" s="12" t="s">
        <v>236</v>
      </c>
      <c r="I50" s="12">
        <v>-22.264887084571857</v>
      </c>
      <c r="J50" s="12">
        <v>-93.5052608535769</v>
      </c>
      <c r="K50" s="12">
        <v>48.97548668443319</v>
      </c>
      <c r="L50" s="12"/>
      <c r="M50" s="12"/>
      <c r="N50" s="12"/>
      <c r="O50" s="12">
        <v>0.5401731305508288</v>
      </c>
      <c r="P50" s="12" t="inlineStr">
        <is>
          <t>0.540</t>
        </is>
      </c>
      <c r="Q50" s="12"/>
      <c r="R50" s="12" t="s">
        <v>137</v>
      </c>
      <c r="S50" s="12" t="s">
        <v>401</v>
      </c>
    </row>
    <row r="51" ht="15.75" customHeight="1">
      <c r="A51" s="12" t="s">
        <v>128</v>
      </c>
      <c r="B51" s="12" t="s">
        <v>97</v>
      </c>
      <c r="C51" s="12" t="inlineStr">
        <is>
          <t>Delta^14 * C</t>
        </is>
      </c>
      <c r="D51" s="12" t="s">
        <v>53</v>
      </c>
      <c r="E51" s="12" t="inlineStr">
        <is>
          <t>10-20</t>
        </is>
      </c>
      <c r="F51" s="12" t="s">
        <v>129</v>
      </c>
      <c r="G51" s="12" t="inlineStr">
        <is>
          <t>(10-year-old hedgerow) - (30-year-old hedgerow)</t>
        </is>
      </c>
      <c r="H51" s="12" t="s">
        <v>236</v>
      </c>
      <c r="I51" s="12">
        <v>-11.11647169467701</v>
      </c>
      <c r="J51" s="12">
        <v>-82.35684546351061</v>
      </c>
      <c r="K51" s="12">
        <v>60.1239020741566</v>
      </c>
      <c r="L51" s="12"/>
      <c r="M51" s="12"/>
      <c r="N51" s="12"/>
      <c r="O51" s="12">
        <v>0.7597293757625327</v>
      </c>
      <c r="P51" s="12" t="inlineStr">
        <is>
          <t>0.760</t>
        </is>
      </c>
      <c r="Q51" s="12"/>
      <c r="R51" s="12" t="s">
        <v>137</v>
      </c>
      <c r="S51" s="12" t="s">
        <v>401</v>
      </c>
    </row>
    <row r="52" ht="15.75" customHeight="1">
      <c r="A52" s="12" t="s">
        <v>128</v>
      </c>
      <c r="B52" s="12" t="s">
        <v>97</v>
      </c>
      <c r="C52" s="12" t="inlineStr">
        <is>
          <t>Delta^14 * C</t>
        </is>
      </c>
      <c r="D52" s="12" t="s">
        <v>53</v>
      </c>
      <c r="E52" s="12" t="inlineStr">
        <is>
          <t>20-50</t>
        </is>
      </c>
      <c r="F52" s="12" t="s">
        <v>394</v>
      </c>
      <c r="G52" s="12" t="s">
        <v>395</v>
      </c>
      <c r="H52" s="12"/>
      <c r="I52" s="12"/>
      <c r="J52" s="12"/>
      <c r="K52" s="12"/>
      <c r="L52" s="12">
        <v>2.0</v>
      </c>
      <c r="M52" s="12" t="s">
        <v>396</v>
      </c>
      <c r="N52" s="12">
        <v>2.055</v>
      </c>
      <c r="O52" s="12">
        <v>0.12804646915706858</v>
      </c>
      <c r="P52" s="12" t="inlineStr">
        <is>
          <t>0.128</t>
        </is>
      </c>
      <c r="Q52" s="12"/>
      <c r="R52" s="12" t="s">
        <v>137</v>
      </c>
      <c r="S52" s="12" t="s">
        <v>135</v>
      </c>
    </row>
    <row r="53" ht="15.75" customHeight="1">
      <c r="A53" s="12" t="s">
        <v>128</v>
      </c>
      <c r="B53" s="12" t="s">
        <v>97</v>
      </c>
      <c r="C53" s="12" t="inlineStr">
        <is>
          <t>Delta^14 * C</t>
        </is>
      </c>
      <c r="D53" s="12" t="s">
        <v>53</v>
      </c>
      <c r="E53" s="12" t="inlineStr">
        <is>
          <t>20-50</t>
        </is>
      </c>
      <c r="F53" s="12" t="s">
        <v>129</v>
      </c>
      <c r="G53" s="12" t="inlineStr">
        <is>
          <t>bare field margin - (10-year-old hedgerow)</t>
        </is>
      </c>
      <c r="H53" s="12" t="s">
        <v>236</v>
      </c>
      <c r="I53" s="12">
        <v>-20.963476729739007</v>
      </c>
      <c r="J53" s="12">
        <v>-92.20385049864569</v>
      </c>
      <c r="K53" s="12">
        <v>50.27689703916767</v>
      </c>
      <c r="L53" s="12"/>
      <c r="M53" s="12"/>
      <c r="N53" s="12"/>
      <c r="O53" s="12">
        <v>0.5641104956574239</v>
      </c>
      <c r="P53" s="12" t="inlineStr">
        <is>
          <t>0.564</t>
        </is>
      </c>
      <c r="Q53" s="12"/>
      <c r="R53" s="12" t="s">
        <v>137</v>
      </c>
      <c r="S53" s="12" t="s">
        <v>401</v>
      </c>
    </row>
    <row r="54" ht="15.75" customHeight="1">
      <c r="A54" s="12" t="s">
        <v>128</v>
      </c>
      <c r="B54" s="12" t="s">
        <v>97</v>
      </c>
      <c r="C54" s="12" t="inlineStr">
        <is>
          <t>Delta^14 * C</t>
        </is>
      </c>
      <c r="D54" s="12" t="s">
        <v>53</v>
      </c>
      <c r="E54" s="12" t="inlineStr">
        <is>
          <t>20-50</t>
        </is>
      </c>
      <c r="F54" s="12" t="s">
        <v>129</v>
      </c>
      <c r="G54" s="12" t="inlineStr">
        <is>
          <t>bare field margin - (30-year-old hedgerow)</t>
        </is>
      </c>
      <c r="H54" s="12" t="s">
        <v>236</v>
      </c>
      <c r="I54" s="12">
        <v>50.703226878013574</v>
      </c>
      <c r="J54" s="12">
        <v>-20.537146890796727</v>
      </c>
      <c r="K54" s="12">
        <v>121.94360064682388</v>
      </c>
      <c r="L54" s="12"/>
      <c r="M54" s="12"/>
      <c r="N54" s="12"/>
      <c r="O54" s="12">
        <v>0.16303202188230964</v>
      </c>
      <c r="P54" s="12" t="inlineStr">
        <is>
          <t>0.163</t>
        </is>
      </c>
      <c r="Q54" s="12"/>
      <c r="R54" s="12" t="s">
        <v>137</v>
      </c>
      <c r="S54" s="12" t="s">
        <v>401</v>
      </c>
    </row>
    <row r="55" ht="15.75" customHeight="1">
      <c r="A55" s="12" t="s">
        <v>128</v>
      </c>
      <c r="B55" s="12" t="s">
        <v>97</v>
      </c>
      <c r="C55" s="12" t="inlineStr">
        <is>
          <t>Delta^14 * C</t>
        </is>
      </c>
      <c r="D55" s="12" t="s">
        <v>53</v>
      </c>
      <c r="E55" s="12" t="inlineStr">
        <is>
          <t>20-50</t>
        </is>
      </c>
      <c r="F55" s="12" t="s">
        <v>129</v>
      </c>
      <c r="G55" s="12" t="inlineStr">
        <is>
          <t>(10-year-old hedgerow) - (30-year-old hedgerow)</t>
        </is>
      </c>
      <c r="H55" s="12" t="s">
        <v>236</v>
      </c>
      <c r="I55" s="12">
        <v>71.66670360775258</v>
      </c>
      <c r="J55" s="12">
        <v>0.42632983901309274</v>
      </c>
      <c r="K55" s="12">
        <v>142.90707737649205</v>
      </c>
      <c r="L55" s="12"/>
      <c r="M55" s="12"/>
      <c r="N55" s="12"/>
      <c r="O55" s="12">
        <v>0.04864464449557867</v>
      </c>
      <c r="P55" s="12" t="inlineStr">
        <is>
          <t>0.049</t>
        </is>
      </c>
      <c r="Q55" s="12" t="inlineStr">
        <is>
          <t>*</t>
        </is>
      </c>
      <c r="R55" s="12" t="s">
        <v>137</v>
      </c>
      <c r="S55" s="12" t="s">
        <v>401</v>
      </c>
    </row>
    <row r="56" ht="15.75" customHeight="1">
      <c r="A56" s="12" t="s">
        <v>128</v>
      </c>
      <c r="B56" s="12" t="s">
        <v>97</v>
      </c>
      <c r="C56" s="12" t="inlineStr">
        <is>
          <t>Delta^14 * C</t>
        </is>
      </c>
      <c r="D56" s="12" t="s">
        <v>53</v>
      </c>
      <c r="E56" s="12" t="inlineStr">
        <is>
          <t>50-75</t>
        </is>
      </c>
      <c r="F56" s="12" t="s">
        <v>394</v>
      </c>
      <c r="G56" s="12" t="s">
        <v>395</v>
      </c>
      <c r="H56" s="12"/>
      <c r="I56" s="12"/>
      <c r="J56" s="12"/>
      <c r="K56" s="12"/>
      <c r="L56" s="12">
        <v>2.0</v>
      </c>
      <c r="M56" s="12" t="s">
        <v>396</v>
      </c>
      <c r="N56" s="12">
        <v>5.292</v>
      </c>
      <c r="O56" s="12">
        <v>0.005031014052752904</v>
      </c>
      <c r="P56" s="12" t="inlineStr">
        <is>
          <t>0.005</t>
        </is>
      </c>
      <c r="Q56" s="12" t="inlineStr">
        <is>
          <t>**</t>
        </is>
      </c>
      <c r="R56" s="12" t="s">
        <v>137</v>
      </c>
      <c r="S56" s="12" t="s">
        <v>135</v>
      </c>
    </row>
    <row r="57" ht="15.75" customHeight="1">
      <c r="A57" s="12" t="s">
        <v>128</v>
      </c>
      <c r="B57" s="12" t="s">
        <v>97</v>
      </c>
      <c r="C57" s="12" t="inlineStr">
        <is>
          <t>Delta^14 * C</t>
        </is>
      </c>
      <c r="D57" s="12" t="s">
        <v>53</v>
      </c>
      <c r="E57" s="12" t="inlineStr">
        <is>
          <t>50-75</t>
        </is>
      </c>
      <c r="F57" s="12" t="s">
        <v>129</v>
      </c>
      <c r="G57" s="12" t="inlineStr">
        <is>
          <t>bare field margin - (10-year-old hedgerow)</t>
        </is>
      </c>
      <c r="H57" s="12" t="s">
        <v>236</v>
      </c>
      <c r="I57" s="12">
        <v>-108.87762718202487</v>
      </c>
      <c r="J57" s="12">
        <v>-180.11800095082086</v>
      </c>
      <c r="K57" s="12">
        <v>-37.637253413228876</v>
      </c>
      <c r="L57" s="12"/>
      <c r="M57" s="12"/>
      <c r="N57" s="12"/>
      <c r="O57" s="12">
        <v>0.0027404967989987416</v>
      </c>
      <c r="P57" s="12" t="inlineStr">
        <is>
          <t>0.003</t>
        </is>
      </c>
      <c r="Q57" s="12" t="inlineStr">
        <is>
          <t>**</t>
        </is>
      </c>
      <c r="R57" s="12" t="s">
        <v>137</v>
      </c>
      <c r="S57" s="12" t="s">
        <v>401</v>
      </c>
    </row>
    <row r="58" ht="15.75" customHeight="1">
      <c r="A58" s="12" t="s">
        <v>128</v>
      </c>
      <c r="B58" s="12" t="s">
        <v>97</v>
      </c>
      <c r="C58" s="12" t="inlineStr">
        <is>
          <t>Delta^14 * C</t>
        </is>
      </c>
      <c r="D58" s="12" t="s">
        <v>53</v>
      </c>
      <c r="E58" s="12" t="inlineStr">
        <is>
          <t>50-75</t>
        </is>
      </c>
      <c r="F58" s="12" t="s">
        <v>129</v>
      </c>
      <c r="G58" s="12" t="inlineStr">
        <is>
          <t>bare field margin - (30-year-old hedgerow)</t>
        </is>
      </c>
      <c r="H58" s="12" t="s">
        <v>236</v>
      </c>
      <c r="I58" s="12">
        <v>-14.47759945020231</v>
      </c>
      <c r="J58" s="12">
        <v>-85.71797321892424</v>
      </c>
      <c r="K58" s="12">
        <v>56.762774318519625</v>
      </c>
      <c r="L58" s="12"/>
      <c r="M58" s="12"/>
      <c r="N58" s="12"/>
      <c r="O58" s="12">
        <v>0.6904035499526258</v>
      </c>
      <c r="P58" s="12" t="inlineStr">
        <is>
          <t>0.690</t>
        </is>
      </c>
      <c r="Q58" s="12"/>
      <c r="R58" s="12" t="s">
        <v>137</v>
      </c>
      <c r="S58" s="12" t="s">
        <v>401</v>
      </c>
    </row>
    <row r="59" ht="15.75" customHeight="1">
      <c r="A59" s="12" t="s">
        <v>128</v>
      </c>
      <c r="B59" s="12" t="s">
        <v>97</v>
      </c>
      <c r="C59" s="12" t="inlineStr">
        <is>
          <t>Delta^14 * C</t>
        </is>
      </c>
      <c r="D59" s="12" t="s">
        <v>53</v>
      </c>
      <c r="E59" s="12" t="inlineStr">
        <is>
          <t>50-75</t>
        </is>
      </c>
      <c r="F59" s="12" t="s">
        <v>129</v>
      </c>
      <c r="G59" s="12" t="inlineStr">
        <is>
          <t>(10-year-old hedgerow) - (30-year-old hedgerow)</t>
        </is>
      </c>
      <c r="H59" s="12" t="s">
        <v>236</v>
      </c>
      <c r="I59" s="12">
        <v>94.40002773182255</v>
      </c>
      <c r="J59" s="12">
        <v>23.159653963192497</v>
      </c>
      <c r="K59" s="12">
        <v>165.64040150045258</v>
      </c>
      <c r="L59" s="12"/>
      <c r="M59" s="12"/>
      <c r="N59" s="12"/>
      <c r="O59" s="12">
        <v>0.009400579028096111</v>
      </c>
      <c r="P59" s="12" t="inlineStr">
        <is>
          <t>0.009</t>
        </is>
      </c>
      <c r="Q59" s="12" t="inlineStr">
        <is>
          <t>**</t>
        </is>
      </c>
      <c r="R59" s="12" t="s">
        <v>137</v>
      </c>
      <c r="S59" s="12" t="s">
        <v>401</v>
      </c>
    </row>
    <row r="60" ht="15.75" customHeight="1">
      <c r="A60" s="12" t="s">
        <v>128</v>
      </c>
      <c r="B60" s="12" t="inlineStr">
        <is>
          <t>c_percent</t>
        </is>
      </c>
      <c r="C60" s="12" t="inlineStr">
        <is>
          <t>C concentration</t>
        </is>
      </c>
      <c r="D60" s="12" t="s">
        <v>53</v>
      </c>
      <c r="E60" s="12" t="inlineStr">
        <is>
          <t>0-10</t>
        </is>
      </c>
      <c r="F60" s="12" t="s">
        <v>394</v>
      </c>
      <c r="G60" s="12" t="s">
        <v>395</v>
      </c>
      <c r="H60" s="12"/>
      <c r="I60" s="12"/>
      <c r="J60" s="12"/>
      <c r="K60" s="12"/>
      <c r="L60" s="12">
        <v>2.0</v>
      </c>
      <c r="M60" s="12" t="s">
        <v>396</v>
      </c>
      <c r="N60" s="12">
        <v>31.492</v>
      </c>
      <c r="O60" s="12">
        <v>2.1037630263542328e-14</v>
      </c>
      <c r="P60" s="12" t="inlineStr">
        <is>
          <t>&lt;0.001</t>
        </is>
      </c>
      <c r="Q60" s="12" t="inlineStr">
        <is>
          <t>***</t>
        </is>
      </c>
      <c r="R60" s="12" t="s">
        <v>137</v>
      </c>
      <c r="S60" s="12" t="s">
        <v>135</v>
      </c>
    </row>
    <row r="61" ht="15.75" customHeight="1">
      <c r="A61" s="12" t="s">
        <v>128</v>
      </c>
      <c r="B61" s="12" t="inlineStr">
        <is>
          <t>c_percent</t>
        </is>
      </c>
      <c r="C61" s="12" t="inlineStr">
        <is>
          <t>C concentration</t>
        </is>
      </c>
      <c r="D61" s="12" t="s">
        <v>53</v>
      </c>
      <c r="E61" s="12" t="inlineStr">
        <is>
          <t>0-10</t>
        </is>
      </c>
      <c r="F61" s="12" t="s">
        <v>129</v>
      </c>
      <c r="G61" s="12" t="inlineStr">
        <is>
          <t>bare field margin / (10-year-old hedgerow)</t>
        </is>
      </c>
      <c r="H61" s="12" t="inlineStr">
        <is>
          <t>ratio</t>
        </is>
      </c>
      <c r="I61" s="12">
        <v>0.47500143820800456</v>
      </c>
      <c r="J61" s="12">
        <v>0.3841369442877975</v>
      </c>
      <c r="K61" s="12">
        <v>0.5873591948256668</v>
      </c>
      <c r="L61" s="12"/>
      <c r="M61" s="12"/>
      <c r="N61" s="12"/>
      <c r="O61" s="12">
        <v>6.32737558345983e-12</v>
      </c>
      <c r="P61" s="12" t="inlineStr">
        <is>
          <t>&lt;0.001</t>
        </is>
      </c>
      <c r="Q61" s="12" t="inlineStr">
        <is>
          <t>***</t>
        </is>
      </c>
      <c r="R61" s="12" t="s">
        <v>137</v>
      </c>
      <c r="S61" s="12" t="s">
        <v>401</v>
      </c>
    </row>
    <row r="62" ht="15.75" customHeight="1">
      <c r="A62" s="12" t="s">
        <v>128</v>
      </c>
      <c r="B62" s="12" t="inlineStr">
        <is>
          <t>c_percent</t>
        </is>
      </c>
      <c r="C62" s="12" t="inlineStr">
        <is>
          <t>C concentration</t>
        </is>
      </c>
      <c r="D62" s="12" t="s">
        <v>53</v>
      </c>
      <c r="E62" s="12" t="inlineStr">
        <is>
          <t>0-10</t>
        </is>
      </c>
      <c r="F62" s="12" t="s">
        <v>129</v>
      </c>
      <c r="G62" s="12" t="inlineStr">
        <is>
          <t>bare field margin / (30-year-old hedgerow)</t>
        </is>
      </c>
      <c r="H62" s="12" t="inlineStr">
        <is>
          <t>ratio</t>
        </is>
      </c>
      <c r="I62" s="12">
        <v>0.4754075492176741</v>
      </c>
      <c r="J62" s="12">
        <v>0.3845232360344527</v>
      </c>
      <c r="K62" s="12">
        <v>0.5877729007588629</v>
      </c>
      <c r="L62" s="12"/>
      <c r="M62" s="12"/>
      <c r="N62" s="12"/>
      <c r="O62" s="12">
        <v>6.4627621273503265e-12</v>
      </c>
      <c r="P62" s="12" t="inlineStr">
        <is>
          <t>&lt;0.001</t>
        </is>
      </c>
      <c r="Q62" s="12" t="inlineStr">
        <is>
          <t>***</t>
        </is>
      </c>
      <c r="R62" s="12" t="s">
        <v>137</v>
      </c>
      <c r="S62" s="12" t="s">
        <v>401</v>
      </c>
    </row>
    <row r="63" ht="15.75" customHeight="1">
      <c r="A63" s="12" t="s">
        <v>128</v>
      </c>
      <c r="B63" s="12" t="inlineStr">
        <is>
          <t>c_percent</t>
        </is>
      </c>
      <c r="C63" s="12" t="inlineStr">
        <is>
          <t>C concentration</t>
        </is>
      </c>
      <c r="D63" s="12" t="s">
        <v>53</v>
      </c>
      <c r="E63" s="12" t="inlineStr">
        <is>
          <t>0-10</t>
        </is>
      </c>
      <c r="F63" s="12" t="s">
        <v>129</v>
      </c>
      <c r="G63" s="12" t="inlineStr">
        <is>
          <t>(10-year-old hedgerow) / (30-year-old hedgerow)</t>
        </is>
      </c>
      <c r="H63" s="12" t="inlineStr">
        <is>
          <t>ratio</t>
        </is>
      </c>
      <c r="I63" s="12">
        <v>1.0008549679579952</v>
      </c>
      <c r="J63" s="12">
        <v>0.8092738629445699</v>
      </c>
      <c r="K63" s="12">
        <v>1.2377894712198438</v>
      </c>
      <c r="L63" s="12"/>
      <c r="M63" s="12"/>
      <c r="N63" s="12"/>
      <c r="O63" s="12">
        <v>0.993710079243642</v>
      </c>
      <c r="P63" s="12" t="inlineStr">
        <is>
          <t>0.994</t>
        </is>
      </c>
      <c r="Q63" s="12"/>
      <c r="R63" s="12" t="s">
        <v>137</v>
      </c>
      <c r="S63" s="12" t="s">
        <v>401</v>
      </c>
    </row>
    <row r="64" ht="15.75" customHeight="1">
      <c r="A64" s="12" t="s">
        <v>128</v>
      </c>
      <c r="B64" s="12" t="inlineStr">
        <is>
          <t>c_percent</t>
        </is>
      </c>
      <c r="C64" s="12" t="inlineStr">
        <is>
          <t>C concentration</t>
        </is>
      </c>
      <c r="D64" s="12" t="s">
        <v>53</v>
      </c>
      <c r="E64" s="12" t="inlineStr">
        <is>
          <t>10-20</t>
        </is>
      </c>
      <c r="F64" s="12" t="s">
        <v>394</v>
      </c>
      <c r="G64" s="12" t="s">
        <v>395</v>
      </c>
      <c r="H64" s="12"/>
      <c r="I64" s="12"/>
      <c r="J64" s="12"/>
      <c r="K64" s="12"/>
      <c r="L64" s="12">
        <v>2.0</v>
      </c>
      <c r="M64" s="12" t="s">
        <v>396</v>
      </c>
      <c r="N64" s="12">
        <v>1.561</v>
      </c>
      <c r="O64" s="12">
        <v>0.20986622960077628</v>
      </c>
      <c r="P64" s="12" t="inlineStr">
        <is>
          <t>0.210</t>
        </is>
      </c>
      <c r="Q64" s="12"/>
      <c r="R64" s="12" t="s">
        <v>137</v>
      </c>
      <c r="S64" s="12" t="s">
        <v>135</v>
      </c>
    </row>
    <row r="65" ht="15.75" customHeight="1">
      <c r="A65" s="12" t="s">
        <v>128</v>
      </c>
      <c r="B65" s="12" t="inlineStr">
        <is>
          <t>c_percent</t>
        </is>
      </c>
      <c r="C65" s="12" t="inlineStr">
        <is>
          <t>C concentration</t>
        </is>
      </c>
      <c r="D65" s="12" t="s">
        <v>53</v>
      </c>
      <c r="E65" s="12" t="inlineStr">
        <is>
          <t>10-20</t>
        </is>
      </c>
      <c r="F65" s="12" t="s">
        <v>129</v>
      </c>
      <c r="G65" s="12" t="inlineStr">
        <is>
          <t>bare field margin / (10-year-old hedgerow)</t>
        </is>
      </c>
      <c r="H65" s="12" t="inlineStr">
        <is>
          <t>ratio</t>
        </is>
      </c>
      <c r="I65" s="12">
        <v>0.8640743763323118</v>
      </c>
      <c r="J65" s="12">
        <v>0.6988475527400203</v>
      </c>
      <c r="K65" s="12">
        <v>1.068365375118981</v>
      </c>
      <c r="L65" s="12"/>
      <c r="M65" s="12"/>
      <c r="N65" s="12"/>
      <c r="O65" s="12">
        <v>0.1772604484716969</v>
      </c>
      <c r="P65" s="12" t="inlineStr">
        <is>
          <t>0.177</t>
        </is>
      </c>
      <c r="Q65" s="12"/>
      <c r="R65" s="12" t="s">
        <v>137</v>
      </c>
      <c r="S65" s="12" t="s">
        <v>401</v>
      </c>
    </row>
    <row r="66" ht="15.75" customHeight="1">
      <c r="A66" s="12" t="s">
        <v>128</v>
      </c>
      <c r="B66" s="12" t="inlineStr">
        <is>
          <t>c_percent</t>
        </is>
      </c>
      <c r="C66" s="12" t="inlineStr">
        <is>
          <t>C concentration</t>
        </is>
      </c>
      <c r="D66" s="12" t="s">
        <v>53</v>
      </c>
      <c r="E66" s="12" t="inlineStr">
        <is>
          <t>10-20</t>
        </is>
      </c>
      <c r="F66" s="12" t="s">
        <v>129</v>
      </c>
      <c r="G66" s="12" t="inlineStr">
        <is>
          <t>bare field margin / (30-year-old hedgerow)</t>
        </is>
      </c>
      <c r="H66" s="12" t="inlineStr">
        <is>
          <t>ratio</t>
        </is>
      </c>
      <c r="I66" s="12">
        <v>0.8352525010700886</v>
      </c>
      <c r="J66" s="12">
        <v>0.6755548105117737</v>
      </c>
      <c r="K66" s="12">
        <v>1.032701906178906</v>
      </c>
      <c r="L66" s="12"/>
      <c r="M66" s="12"/>
      <c r="N66" s="12"/>
      <c r="O66" s="12">
        <v>0.09636259340431555</v>
      </c>
      <c r="P66" s="12" t="inlineStr">
        <is>
          <t>0.096</t>
        </is>
      </c>
      <c r="Q66" s="12" t="inlineStr">
        <is>
          <t>†</t>
        </is>
      </c>
      <c r="R66" s="12" t="s">
        <v>137</v>
      </c>
      <c r="S66" s="12" t="s">
        <v>401</v>
      </c>
    </row>
    <row r="67" ht="15.75" customHeight="1">
      <c r="A67" s="12" t="s">
        <v>128</v>
      </c>
      <c r="B67" s="12" t="inlineStr">
        <is>
          <t>c_percent</t>
        </is>
      </c>
      <c r="C67" s="12" t="inlineStr">
        <is>
          <t>C concentration</t>
        </is>
      </c>
      <c r="D67" s="12" t="s">
        <v>53</v>
      </c>
      <c r="E67" s="12" t="inlineStr">
        <is>
          <t>10-20</t>
        </is>
      </c>
      <c r="F67" s="12" t="s">
        <v>129</v>
      </c>
      <c r="G67" s="12" t="inlineStr">
        <is>
          <t>(10-year-old hedgerow) / (30-year-old hedgerow)</t>
        </is>
      </c>
      <c r="H67" s="12" t="inlineStr">
        <is>
          <t>ratio</t>
        </is>
      </c>
      <c r="I67" s="12">
        <v>0.9666442194657342</v>
      </c>
      <c r="J67" s="12">
        <v>0.7817910496848641</v>
      </c>
      <c r="K67" s="12">
        <v>1.195205608203331</v>
      </c>
      <c r="L67" s="12"/>
      <c r="M67" s="12"/>
      <c r="N67" s="12"/>
      <c r="O67" s="12">
        <v>0.7540684936411345</v>
      </c>
      <c r="P67" s="12" t="inlineStr">
        <is>
          <t>0.754</t>
        </is>
      </c>
      <c r="Q67" s="12"/>
      <c r="R67" s="12" t="s">
        <v>137</v>
      </c>
      <c r="S67" s="12" t="s">
        <v>401</v>
      </c>
    </row>
    <row r="68" ht="15.75" customHeight="1">
      <c r="A68" s="12" t="s">
        <v>128</v>
      </c>
      <c r="B68" s="12" t="s">
        <v>49</v>
      </c>
      <c r="C68" s="12" t="s">
        <v>3</v>
      </c>
      <c r="D68" s="12" t="s">
        <v>53</v>
      </c>
      <c r="E68" s="12" t="inlineStr">
        <is>
          <t>20-50</t>
        </is>
      </c>
      <c r="F68" s="12" t="s">
        <v>394</v>
      </c>
      <c r="G68" s="12" t="s">
        <v>395</v>
      </c>
      <c r="H68" s="12"/>
      <c r="I68" s="12"/>
      <c r="J68" s="12"/>
      <c r="K68" s="12"/>
      <c r="L68" s="12">
        <v>2.0</v>
      </c>
      <c r="M68" s="12" t="s">
        <v>396</v>
      </c>
      <c r="N68" s="12">
        <v>1.871</v>
      </c>
      <c r="O68" s="12">
        <v>0.15401063957887376</v>
      </c>
      <c r="P68" s="12" t="inlineStr">
        <is>
          <t>0.154</t>
        </is>
      </c>
      <c r="Q68" s="12"/>
      <c r="R68" s="12" t="s">
        <v>137</v>
      </c>
      <c r="S68" s="12" t="s">
        <v>135</v>
      </c>
    </row>
    <row r="69" ht="15.75" customHeight="1">
      <c r="A69" s="12" t="s">
        <v>128</v>
      </c>
      <c r="B69" s="12" t="s">
        <v>49</v>
      </c>
      <c r="C69" s="12" t="s">
        <v>3</v>
      </c>
      <c r="D69" s="12" t="s">
        <v>53</v>
      </c>
      <c r="E69" s="12" t="inlineStr">
        <is>
          <t>20-50</t>
        </is>
      </c>
      <c r="F69" s="12" t="s">
        <v>129</v>
      </c>
      <c r="G69" s="12" t="inlineStr">
        <is>
          <t>bare field margin / (10-year-old hedgerow)</t>
        </is>
      </c>
      <c r="H69" s="12" t="s">
        <v>131</v>
      </c>
      <c r="I69" s="12">
        <v>0.937587408985995</v>
      </c>
      <c r="J69" s="12">
        <v>0.7583961298015464</v>
      </c>
      <c r="K69" s="12">
        <v>1.159117399134279</v>
      </c>
      <c r="L69" s="12"/>
      <c r="M69" s="12"/>
      <c r="N69" s="12"/>
      <c r="O69" s="12">
        <v>0.5515016453590407</v>
      </c>
      <c r="P69" s="12" t="inlineStr">
        <is>
          <t>0.552</t>
        </is>
      </c>
      <c r="Q69" s="12"/>
      <c r="R69" s="12" t="s">
        <v>137</v>
      </c>
      <c r="S69" s="12" t="s">
        <v>401</v>
      </c>
    </row>
    <row r="70" ht="15.75" customHeight="1">
      <c r="A70" s="12" t="s">
        <v>128</v>
      </c>
      <c r="B70" s="12" t="s">
        <v>49</v>
      </c>
      <c r="C70" s="12" t="s">
        <v>3</v>
      </c>
      <c r="D70" s="12" t="s">
        <v>53</v>
      </c>
      <c r="E70" s="12" t="inlineStr">
        <is>
          <t>20-50</t>
        </is>
      </c>
      <c r="F70" s="12" t="s">
        <v>129</v>
      </c>
      <c r="G70" s="12" t="inlineStr">
        <is>
          <t>bare field margin / (30-year-old hedgerow)</t>
        </is>
      </c>
      <c r="H70" s="12" t="s">
        <v>131</v>
      </c>
      <c r="I70" s="12">
        <v>1.1506212495792238</v>
      </c>
      <c r="J70" s="12">
        <v>0.9306518814744357</v>
      </c>
      <c r="K70" s="12">
        <v>1.422582693203981</v>
      </c>
      <c r="L70" s="12"/>
      <c r="M70" s="12"/>
      <c r="N70" s="12"/>
      <c r="O70" s="12">
        <v>0.19495603888734334</v>
      </c>
      <c r="P70" s="12" t="inlineStr">
        <is>
          <t>0.195</t>
        </is>
      </c>
      <c r="Q70" s="12"/>
      <c r="R70" s="12" t="s">
        <v>137</v>
      </c>
      <c r="S70" s="12" t="s">
        <v>401</v>
      </c>
    </row>
    <row r="71" ht="15.75" customHeight="1">
      <c r="A71" s="12" t="s">
        <v>128</v>
      </c>
      <c r="B71" s="12" t="s">
        <v>49</v>
      </c>
      <c r="C71" s="12" t="s">
        <v>3</v>
      </c>
      <c r="D71" s="12" t="s">
        <v>53</v>
      </c>
      <c r="E71" s="12" t="inlineStr">
        <is>
          <t>20-50</t>
        </is>
      </c>
      <c r="F71" s="12" t="s">
        <v>129</v>
      </c>
      <c r="G71" s="12" t="inlineStr">
        <is>
          <t>(10-year-old hedgerow) / (30-year-old hedgerow)</t>
        </is>
      </c>
      <c r="H71" s="12" t="s">
        <v>131</v>
      </c>
      <c r="I71" s="12">
        <v>1.2272149119660491</v>
      </c>
      <c r="J71" s="12">
        <v>0.9926319929071774</v>
      </c>
      <c r="K71" s="12">
        <v>1.5172354416473772</v>
      </c>
      <c r="L71" s="12"/>
      <c r="M71" s="12"/>
      <c r="N71" s="12"/>
      <c r="O71" s="12">
        <v>0.05853900357747476</v>
      </c>
      <c r="P71" s="12" t="inlineStr">
        <is>
          <t>0.059</t>
        </is>
      </c>
      <c r="Q71" s="12" t="inlineStr">
        <is>
          <t>†</t>
        </is>
      </c>
      <c r="R71" s="12" t="s">
        <v>137</v>
      </c>
      <c r="S71" s="12" t="s">
        <v>401</v>
      </c>
    </row>
    <row r="72" ht="15.75" customHeight="1">
      <c r="A72" s="12" t="s">
        <v>128</v>
      </c>
      <c r="B72" s="12" t="s">
        <v>49</v>
      </c>
      <c r="C72" s="12" t="s">
        <v>3</v>
      </c>
      <c r="D72" s="12" t="s">
        <v>53</v>
      </c>
      <c r="E72" s="12" t="inlineStr">
        <is>
          <t>50-75</t>
        </is>
      </c>
      <c r="F72" s="12" t="s">
        <v>394</v>
      </c>
      <c r="G72" s="12" t="s">
        <v>395</v>
      </c>
      <c r="H72" s="12"/>
      <c r="I72" s="12"/>
      <c r="J72" s="12"/>
      <c r="K72" s="12"/>
      <c r="L72" s="12">
        <v>2.0</v>
      </c>
      <c r="M72" s="12" t="s">
        <v>396</v>
      </c>
      <c r="N72" s="12">
        <v>4.711</v>
      </c>
      <c r="O72" s="12">
        <v>0.008991337334731469</v>
      </c>
      <c r="P72" s="12" t="inlineStr">
        <is>
          <t>0.009</t>
        </is>
      </c>
      <c r="Q72" s="12" t="inlineStr">
        <is>
          <t>**</t>
        </is>
      </c>
      <c r="R72" s="12" t="s">
        <v>137</v>
      </c>
      <c r="S72" s="12" t="s">
        <v>135</v>
      </c>
    </row>
    <row r="73" ht="15.75" customHeight="1">
      <c r="A73" s="12" t="s">
        <v>128</v>
      </c>
      <c r="B73" s="12" t="s">
        <v>49</v>
      </c>
      <c r="C73" s="12" t="s">
        <v>3</v>
      </c>
      <c r="D73" s="12" t="s">
        <v>53</v>
      </c>
      <c r="E73" s="12" t="inlineStr">
        <is>
          <t>50-75</t>
        </is>
      </c>
      <c r="F73" s="12" t="s">
        <v>129</v>
      </c>
      <c r="G73" s="12" t="inlineStr">
        <is>
          <t>bare field margin / (10-year-old hedgerow)</t>
        </is>
      </c>
      <c r="H73" s="12" t="s">
        <v>131</v>
      </c>
      <c r="I73" s="12">
        <v>0.7426266115112357</v>
      </c>
      <c r="J73" s="12">
        <v>0.600685624358596</v>
      </c>
      <c r="K73" s="12">
        <v>0.9181080115135731</v>
      </c>
      <c r="L73" s="12"/>
      <c r="M73" s="12"/>
      <c r="N73" s="12"/>
      <c r="O73" s="12">
        <v>0.005970164223923443</v>
      </c>
      <c r="P73" s="12" t="inlineStr">
        <is>
          <t>0.006</t>
        </is>
      </c>
      <c r="Q73" s="12" t="inlineStr">
        <is>
          <t>**</t>
        </is>
      </c>
      <c r="R73" s="12" t="s">
        <v>137</v>
      </c>
      <c r="S73" s="12" t="s">
        <v>401</v>
      </c>
    </row>
    <row r="74" ht="15.75" customHeight="1">
      <c r="A74" s="12" t="s">
        <v>128</v>
      </c>
      <c r="B74" s="12" t="s">
        <v>49</v>
      </c>
      <c r="C74" s="12" t="s">
        <v>3</v>
      </c>
      <c r="D74" s="12" t="s">
        <v>53</v>
      </c>
      <c r="E74" s="12" t="inlineStr">
        <is>
          <t>50-75</t>
        </is>
      </c>
      <c r="F74" s="12" t="s">
        <v>129</v>
      </c>
      <c r="G74" s="12" t="inlineStr">
        <is>
          <t>bare field margin / (30-year-old hedgerow)</t>
        </is>
      </c>
      <c r="H74" s="12" t="s">
        <v>131</v>
      </c>
      <c r="I74" s="12">
        <v>0.9795691484207562</v>
      </c>
      <c r="J74" s="12">
        <v>0.7922484160793657</v>
      </c>
      <c r="K74" s="12">
        <v>1.2111803533623462</v>
      </c>
      <c r="L74" s="12"/>
      <c r="M74" s="12"/>
      <c r="N74" s="12"/>
      <c r="O74" s="12">
        <v>0.8488171171852242</v>
      </c>
      <c r="P74" s="12" t="inlineStr">
        <is>
          <t>0.849</t>
        </is>
      </c>
      <c r="Q74" s="12"/>
      <c r="R74" s="12" t="s">
        <v>137</v>
      </c>
      <c r="S74" s="12" t="s">
        <v>401</v>
      </c>
    </row>
    <row r="75" ht="15.75" customHeight="1">
      <c r="A75" s="12" t="s">
        <v>128</v>
      </c>
      <c r="B75" s="12" t="s">
        <v>49</v>
      </c>
      <c r="C75" s="12" t="s">
        <v>3</v>
      </c>
      <c r="D75" s="12" t="s">
        <v>53</v>
      </c>
      <c r="E75" s="12" t="inlineStr">
        <is>
          <t>50-75</t>
        </is>
      </c>
      <c r="F75" s="12" t="s">
        <v>129</v>
      </c>
      <c r="G75" s="12" t="inlineStr">
        <is>
          <t>(10-year-old hedgerow) / (30-year-old hedgerow)</t>
        </is>
      </c>
      <c r="H75" s="12" t="s">
        <v>131</v>
      </c>
      <c r="I75" s="12">
        <v>1.3190601215156368</v>
      </c>
      <c r="J75" s="12">
        <v>1.0667658350740936</v>
      </c>
      <c r="K75" s="12">
        <v>1.6310229920814798</v>
      </c>
      <c r="L75" s="12"/>
      <c r="M75" s="12"/>
      <c r="N75" s="12"/>
      <c r="O75" s="12">
        <v>0.010567672828878</v>
      </c>
      <c r="P75" s="12" t="inlineStr">
        <is>
          <t>0.011</t>
        </is>
      </c>
      <c r="Q75" s="12" t="inlineStr">
        <is>
          <t>*</t>
        </is>
      </c>
      <c r="R75" s="12" t="s">
        <v>137</v>
      </c>
      <c r="S75" s="12" t="s">
        <v>401</v>
      </c>
    </row>
    <row r="102" ht="15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</row>
    <row r="103" ht="15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</row>
    <row r="104" ht="15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</row>
    <row r="105" ht="15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</row>
    <row r="106" ht="15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</row>
    <row r="107" ht="15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</row>
    <row r="108" ht="15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</row>
    <row r="109" ht="15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</row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20.0"/>
    <col customWidth="1" min="3" max="3" width="28.0"/>
    <col customWidth="1" min="4" max="4" width="30.0"/>
    <col customWidth="1" min="5" max="5" width="22.0"/>
    <col customWidth="1" min="6" max="6" width="28.0"/>
    <col customWidth="1" min="7" max="7" width="16.0"/>
    <col customWidth="1" min="8" max="8" width="10.0"/>
    <col customWidth="1" min="9" max="9" width="17.0"/>
    <col customWidth="1" min="10" max="10" width="12.0"/>
    <col customWidth="1" min="11" max="11" width="9.0"/>
    <col customWidth="1" min="12" max="26" width="8.63"/>
  </cols>
  <sheetData>
    <row r="1">
      <c r="A1" s="9" t="s">
        <v>23</v>
      </c>
      <c r="B1" s="9" t="s">
        <v>24</v>
      </c>
      <c r="C1" s="9" t="s">
        <v>25</v>
      </c>
      <c r="D1" s="9" t="s">
        <v>26</v>
      </c>
      <c r="E1" s="9" t="s">
        <v>27</v>
      </c>
      <c r="F1" s="9" t="s">
        <v>28</v>
      </c>
      <c r="G1" s="9" t="s">
        <v>31</v>
      </c>
      <c r="H1" s="9" t="s">
        <v>33</v>
      </c>
      <c r="I1" s="9" t="s">
        <v>34</v>
      </c>
      <c r="J1" s="9" t="s">
        <v>37</v>
      </c>
      <c r="K1" s="9" t="s">
        <v>42</v>
      </c>
    </row>
    <row r="2">
      <c r="A2" s="10" t="s">
        <v>45</v>
      </c>
      <c r="B2" s="10" t="s">
        <v>49</v>
      </c>
      <c r="C2" s="10" t="s">
        <v>3</v>
      </c>
      <c r="D2" s="10" t="s">
        <v>53</v>
      </c>
      <c r="E2" s="10" t="s">
        <v>55</v>
      </c>
      <c r="F2" s="10" t="s">
        <v>56</v>
      </c>
      <c r="G2" s="10">
        <v>73.80807503067554</v>
      </c>
      <c r="H2" s="10">
        <v>5.0</v>
      </c>
      <c r="I2" s="10">
        <v>1.649242598055815E-14</v>
      </c>
      <c r="J2" s="10" t="s">
        <v>58</v>
      </c>
      <c r="K2" s="10" t="s">
        <v>61</v>
      </c>
    </row>
    <row r="3">
      <c r="A3" s="12" t="s">
        <v>45</v>
      </c>
      <c r="B3" s="12" t="s">
        <v>49</v>
      </c>
      <c r="C3" s="12" t="s">
        <v>3</v>
      </c>
      <c r="D3" s="12" t="s">
        <v>53</v>
      </c>
      <c r="E3" s="12" t="s">
        <v>55</v>
      </c>
      <c r="F3" s="12" t="s">
        <v>65</v>
      </c>
      <c r="G3" s="12">
        <v>4.151918988999348</v>
      </c>
      <c r="H3" s="12">
        <v>1.0</v>
      </c>
      <c r="I3" s="12">
        <v>0.041587367663381246</v>
      </c>
      <c r="J3" s="12" t="s">
        <v>68</v>
      </c>
      <c r="K3" s="12" t="s">
        <v>69</v>
      </c>
    </row>
    <row r="4">
      <c r="A4" s="12" t="s">
        <v>45</v>
      </c>
      <c r="B4" s="12" t="s">
        <v>49</v>
      </c>
      <c r="C4" s="12" t="s">
        <v>3</v>
      </c>
      <c r="D4" s="12" t="s">
        <v>53</v>
      </c>
      <c r="E4" s="12" t="s">
        <v>55</v>
      </c>
      <c r="F4" s="12" t="s">
        <v>70</v>
      </c>
      <c r="G4" s="12">
        <v>7.102344328978882</v>
      </c>
      <c r="H4" s="12">
        <v>5.0</v>
      </c>
      <c r="I4" s="12">
        <v>0.21313943318557332</v>
      </c>
      <c r="J4" s="12" t="s">
        <v>71</v>
      </c>
      <c r="K4" s="12"/>
    </row>
    <row r="5">
      <c r="A5" s="12" t="s">
        <v>45</v>
      </c>
      <c r="B5" s="12" t="s">
        <v>72</v>
      </c>
      <c r="C5" s="12" t="s">
        <v>73</v>
      </c>
      <c r="D5" s="12" t="s">
        <v>74</v>
      </c>
      <c r="E5" s="12" t="s">
        <v>75</v>
      </c>
      <c r="F5" s="12" t="s">
        <v>56</v>
      </c>
      <c r="G5" s="12">
        <v>14.094178251039388</v>
      </c>
      <c r="H5" s="12">
        <v>5.0</v>
      </c>
      <c r="I5" s="12">
        <v>0.01502212166227924</v>
      </c>
      <c r="J5" s="12" t="s">
        <v>76</v>
      </c>
      <c r="K5" s="12" t="s">
        <v>69</v>
      </c>
    </row>
    <row r="6">
      <c r="A6" s="12" t="s">
        <v>45</v>
      </c>
      <c r="B6" s="12" t="s">
        <v>72</v>
      </c>
      <c r="C6" s="12" t="s">
        <v>73</v>
      </c>
      <c r="D6" s="12" t="s">
        <v>74</v>
      </c>
      <c r="E6" s="12" t="s">
        <v>75</v>
      </c>
      <c r="F6" s="12" t="s">
        <v>65</v>
      </c>
      <c r="G6" s="12">
        <v>0.015957679327772076</v>
      </c>
      <c r="H6" s="12">
        <v>1.0</v>
      </c>
      <c r="I6" s="12">
        <v>0.8994756899223412</v>
      </c>
      <c r="J6" s="12" t="s">
        <v>77</v>
      </c>
      <c r="K6" s="12"/>
    </row>
    <row r="7">
      <c r="A7" s="12" t="s">
        <v>45</v>
      </c>
      <c r="B7" s="12" t="s">
        <v>72</v>
      </c>
      <c r="C7" s="12" t="s">
        <v>73</v>
      </c>
      <c r="D7" s="12" t="s">
        <v>74</v>
      </c>
      <c r="E7" s="12" t="s">
        <v>75</v>
      </c>
      <c r="F7" s="12" t="s">
        <v>70</v>
      </c>
      <c r="G7" s="12">
        <v>3.4610321834729345</v>
      </c>
      <c r="H7" s="12">
        <v>5.0</v>
      </c>
      <c r="I7" s="12">
        <v>0.6292919848207555</v>
      </c>
      <c r="J7" s="12" t="s">
        <v>78</v>
      </c>
      <c r="K7" s="12"/>
    </row>
    <row r="8">
      <c r="A8" s="12" t="s">
        <v>79</v>
      </c>
      <c r="B8" s="12" t="s">
        <v>49</v>
      </c>
      <c r="C8" s="12" t="s">
        <v>3</v>
      </c>
      <c r="D8" s="12" t="s">
        <v>53</v>
      </c>
      <c r="E8" s="12" t="s">
        <v>55</v>
      </c>
      <c r="F8" s="12" t="s">
        <v>56</v>
      </c>
      <c r="G8" s="12">
        <v>351.30388369187705</v>
      </c>
      <c r="H8" s="12">
        <v>3.0</v>
      </c>
      <c r="I8" s="12">
        <v>7.786520977901071E-76</v>
      </c>
      <c r="J8" s="12" t="s">
        <v>58</v>
      </c>
      <c r="K8" s="12" t="s">
        <v>61</v>
      </c>
    </row>
    <row r="9">
      <c r="A9" s="12" t="s">
        <v>79</v>
      </c>
      <c r="B9" s="12" t="s">
        <v>49</v>
      </c>
      <c r="C9" s="12" t="s">
        <v>3</v>
      </c>
      <c r="D9" s="12" t="s">
        <v>53</v>
      </c>
      <c r="E9" s="12" t="s">
        <v>55</v>
      </c>
      <c r="F9" s="12" t="s">
        <v>65</v>
      </c>
      <c r="G9" s="12">
        <v>7.27530799651558</v>
      </c>
      <c r="H9" s="12">
        <v>1.0</v>
      </c>
      <c r="I9" s="12">
        <v>0.006990890472803368</v>
      </c>
      <c r="J9" s="12" t="s">
        <v>91</v>
      </c>
      <c r="K9" s="12" t="s">
        <v>92</v>
      </c>
    </row>
    <row r="10">
      <c r="A10" s="12" t="s">
        <v>79</v>
      </c>
      <c r="B10" s="12" t="s">
        <v>49</v>
      </c>
      <c r="C10" s="12" t="s">
        <v>3</v>
      </c>
      <c r="D10" s="12" t="s">
        <v>53</v>
      </c>
      <c r="E10" s="12" t="s">
        <v>55</v>
      </c>
      <c r="F10" s="12" t="s">
        <v>70</v>
      </c>
      <c r="G10" s="12">
        <v>10.601840018674515</v>
      </c>
      <c r="H10" s="12">
        <v>3.0</v>
      </c>
      <c r="I10" s="12">
        <v>0.014085734920352812</v>
      </c>
      <c r="J10" s="12" t="s">
        <v>101</v>
      </c>
      <c r="K10" s="12" t="s">
        <v>69</v>
      </c>
    </row>
    <row r="11">
      <c r="A11" s="12" t="s">
        <v>79</v>
      </c>
      <c r="B11" s="12" t="s">
        <v>72</v>
      </c>
      <c r="C11" s="12" t="s">
        <v>73</v>
      </c>
      <c r="D11" s="12" t="s">
        <v>74</v>
      </c>
      <c r="E11" s="12" t="s">
        <v>75</v>
      </c>
      <c r="F11" s="12" t="s">
        <v>56</v>
      </c>
      <c r="G11" s="12">
        <v>6.362912090968948</v>
      </c>
      <c r="H11" s="12">
        <v>3.0</v>
      </c>
      <c r="I11" s="12">
        <v>0.0952285585238271</v>
      </c>
      <c r="J11" s="12" t="s">
        <v>113</v>
      </c>
      <c r="K11" s="12" t="s">
        <v>115</v>
      </c>
    </row>
    <row r="12">
      <c r="A12" s="12" t="s">
        <v>79</v>
      </c>
      <c r="B12" s="12" t="s">
        <v>72</v>
      </c>
      <c r="C12" s="12" t="s">
        <v>73</v>
      </c>
      <c r="D12" s="12" t="s">
        <v>74</v>
      </c>
      <c r="E12" s="12" t="s">
        <v>75</v>
      </c>
      <c r="F12" s="12" t="s">
        <v>65</v>
      </c>
      <c r="G12" s="12">
        <v>0.007852764261273614</v>
      </c>
      <c r="H12" s="12">
        <v>1.0</v>
      </c>
      <c r="I12" s="12">
        <v>0.9293872318372977</v>
      </c>
      <c r="J12" s="12" t="s">
        <v>121</v>
      </c>
      <c r="K12" s="12"/>
    </row>
    <row r="13">
      <c r="A13" s="12" t="s">
        <v>79</v>
      </c>
      <c r="B13" s="12" t="s">
        <v>72</v>
      </c>
      <c r="C13" s="12" t="s">
        <v>73</v>
      </c>
      <c r="D13" s="12" t="s">
        <v>74</v>
      </c>
      <c r="E13" s="12" t="s">
        <v>75</v>
      </c>
      <c r="F13" s="12" t="s">
        <v>70</v>
      </c>
      <c r="G13" s="12">
        <v>4.071627309805269</v>
      </c>
      <c r="H13" s="12">
        <v>3.0</v>
      </c>
      <c r="I13" s="12">
        <v>0.25383282618433384</v>
      </c>
      <c r="J13" s="12" t="s">
        <v>127</v>
      </c>
      <c r="K13" s="12"/>
    </row>
    <row r="14">
      <c r="A14" s="12" t="s">
        <v>128</v>
      </c>
      <c r="B14" s="12" t="s">
        <v>49</v>
      </c>
      <c r="C14" s="12" t="s">
        <v>3</v>
      </c>
      <c r="D14" s="12" t="s">
        <v>53</v>
      </c>
      <c r="E14" s="12" t="s">
        <v>55</v>
      </c>
      <c r="F14" s="12" t="s">
        <v>56</v>
      </c>
      <c r="G14" s="12">
        <v>648.3394383598791</v>
      </c>
      <c r="H14" s="12">
        <v>3.0</v>
      </c>
      <c r="I14" s="12">
        <v>3.337254716064894e-140</v>
      </c>
      <c r="J14" s="12" t="s">
        <v>58</v>
      </c>
      <c r="K14" s="12" t="s">
        <v>61</v>
      </c>
    </row>
    <row r="15" ht="15.75" customHeight="1">
      <c r="A15" s="12" t="s">
        <v>128</v>
      </c>
      <c r="B15" s="12" t="s">
        <v>49</v>
      </c>
      <c r="C15" s="12" t="s">
        <v>3</v>
      </c>
      <c r="D15" s="12" t="s">
        <v>53</v>
      </c>
      <c r="E15" s="12" t="s">
        <v>55</v>
      </c>
      <c r="F15" s="12" t="s">
        <v>65</v>
      </c>
      <c r="G15" s="12">
        <v>17.187727802474516</v>
      </c>
      <c r="H15" s="12">
        <v>2.0</v>
      </c>
      <c r="I15" s="12">
        <v>0.00018523895804913393</v>
      </c>
      <c r="J15" s="12" t="s">
        <v>58</v>
      </c>
      <c r="K15" s="12" t="s">
        <v>61</v>
      </c>
    </row>
    <row r="16" ht="15.75" customHeight="1">
      <c r="A16" s="12" t="s">
        <v>128</v>
      </c>
      <c r="B16" s="12" t="s">
        <v>49</v>
      </c>
      <c r="C16" s="12" t="s">
        <v>3</v>
      </c>
      <c r="D16" s="12" t="s">
        <v>53</v>
      </c>
      <c r="E16" s="12" t="s">
        <v>55</v>
      </c>
      <c r="F16" s="12" t="s">
        <v>70</v>
      </c>
      <c r="G16" s="12">
        <v>67.28807013332616</v>
      </c>
      <c r="H16" s="12">
        <v>6.0</v>
      </c>
      <c r="I16" s="12">
        <v>1.469500923377931e-12</v>
      </c>
      <c r="J16" s="12" t="s">
        <v>58</v>
      </c>
      <c r="K16" s="12" t="s">
        <v>61</v>
      </c>
    </row>
    <row r="17" ht="15.75" customHeight="1">
      <c r="A17" s="12" t="s">
        <v>128</v>
      </c>
      <c r="B17" s="12" t="s">
        <v>72</v>
      </c>
      <c r="C17" s="12" t="s">
        <v>73</v>
      </c>
      <c r="D17" s="12" t="s">
        <v>74</v>
      </c>
      <c r="E17" s="12" t="s">
        <v>75</v>
      </c>
      <c r="F17" s="12" t="s">
        <v>56</v>
      </c>
      <c r="G17" s="12">
        <v>33.46770229266958</v>
      </c>
      <c r="H17" s="12">
        <v>3.0</v>
      </c>
      <c r="I17" s="12">
        <v>2.566097505619559e-07</v>
      </c>
      <c r="J17" s="12" t="s">
        <v>58</v>
      </c>
      <c r="K17" s="12" t="s">
        <v>61</v>
      </c>
    </row>
    <row r="18" ht="15.75" customHeight="1">
      <c r="A18" s="12" t="s">
        <v>128</v>
      </c>
      <c r="B18" s="12" t="s">
        <v>72</v>
      </c>
      <c r="C18" s="12" t="s">
        <v>73</v>
      </c>
      <c r="D18" s="12" t="s">
        <v>74</v>
      </c>
      <c r="E18" s="12" t="s">
        <v>75</v>
      </c>
      <c r="F18" s="12" t="s">
        <v>65</v>
      </c>
      <c r="G18" s="12">
        <v>32.212798971735864</v>
      </c>
      <c r="H18" s="12">
        <v>2.0</v>
      </c>
      <c r="I18" s="12">
        <v>1.0117648326839947e-07</v>
      </c>
      <c r="J18" s="12" t="s">
        <v>58</v>
      </c>
      <c r="K18" s="12" t="s">
        <v>61</v>
      </c>
    </row>
    <row r="19" ht="15.75" customHeight="1">
      <c r="A19" s="13" t="s">
        <v>128</v>
      </c>
      <c r="B19" s="13" t="s">
        <v>72</v>
      </c>
      <c r="C19" s="13" t="s">
        <v>73</v>
      </c>
      <c r="D19" s="13" t="s">
        <v>74</v>
      </c>
      <c r="E19" s="13" t="s">
        <v>75</v>
      </c>
      <c r="F19" s="13" t="s">
        <v>70</v>
      </c>
      <c r="G19" s="13">
        <v>5.853355512271743</v>
      </c>
      <c r="H19" s="13">
        <v>6.0</v>
      </c>
      <c r="I19" s="13">
        <v>0.43981634956698606</v>
      </c>
      <c r="J19" s="13" t="inlineStr">
        <is>
          <t>0.440</t>
        </is>
      </c>
      <c r="K19" s="13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0.0"/>
    <col customWidth="1" min="2" max="2" width="22.0"/>
    <col customWidth="1" min="3" max="3" width="35.0"/>
    <col customWidth="1" min="4" max="4" width="28.0"/>
    <col customWidth="1" min="5" max="5" width="16.0"/>
    <col customWidth="1" min="6" max="6" width="22.0"/>
    <col customWidth="1" min="7" max="7" width="30.0"/>
    <col customWidth="1" min="8" max="8" width="12.0"/>
    <col customWidth="1" min="9" max="9" width="27.0"/>
    <col customWidth="1" min="10" max="10" width="16.0"/>
    <col customWidth="1" min="11" max="12" width="30.0"/>
    <col customWidth="1" min="13" max="13" width="18.0"/>
    <col customWidth="1" min="14" max="15" width="22.0"/>
    <col customWidth="1" min="16" max="16" width="25.0"/>
    <col customWidth="1" min="17" max="26" width="8.63"/>
  </cols>
  <sheetData>
    <row r="1">
      <c r="A1" s="9" t="s">
        <v>23</v>
      </c>
      <c r="B1" s="9" t="s">
        <v>24</v>
      </c>
      <c r="C1" s="9" t="s">
        <v>25</v>
      </c>
      <c r="D1" s="9" t="s">
        <v>26</v>
      </c>
      <c r="E1" s="9" t="s">
        <v>29</v>
      </c>
      <c r="F1" s="9" t="str">
        <v>estimate_method</v>
      </c>
      <c r="G1" s="9" t="s">
        <v>35</v>
      </c>
      <c r="H1" s="9" t="s">
        <v>30</v>
      </c>
      <c r="I1" s="9" t="str">
        <v>estimate</v>
      </c>
      <c r="J1" s="9" t="str">
        <v>standard_error</v>
      </c>
      <c r="K1" s="9" t="str">
        <v>lower_one_se</v>
      </c>
      <c r="L1" s="9" t="str">
        <v>upper_one_se</v>
      </c>
      <c r="M1" s="9" t="s">
        <v>48</v>
      </c>
      <c r="N1" s="9" t="s">
        <v>52</v>
      </c>
      <c r="O1" s="9" t="s">
        <v>54</v>
      </c>
      <c r="P1" s="9" t="s">
        <v>57</v>
      </c>
    </row>
    <row r="2">
      <c r="A2" s="10" t="s">
        <v>45</v>
      </c>
      <c r="B2" s="11" t="s">
        <v>59</v>
      </c>
      <c r="C2" s="11" t="s">
        <v>63</v>
      </c>
      <c r="D2" s="10" t="s">
        <v>53</v>
      </c>
      <c r="E2" s="10" t="s">
        <v>64</v>
      </c>
      <c r="F2" s="10" t="s">
        <v>55</v>
      </c>
      <c r="G2" s="10" t="s">
        <v>66</v>
      </c>
      <c r="H2" s="10" t="s">
        <v>67</v>
      </c>
      <c r="I2" s="10">
        <f t="array" ref="I2:O13">{0.0496241602274497,0.0249182683869481,0.0247058918405016,0.0745424286143978,0.0481330522672884,0.023214783880340303,0.0730513206542365;0.131857410475659,0.0659128832970269,0.0659445271786321,0.1977702937726859,0.130366302515497,0.0644534192184701,0.1962791858125239;0.0555253604530033,0.027878699689688,0.027646660763315296,0.0834040601426913,0.054034252492842,0.026155552803154,0.08191295218253;0.193286938537866,0.0941302228667419,0.0991567156711241,0.2874171614046079,0.191795830577704,0.0976656077109621,0.2859260534444459;0.0304904384769283,0.0148875545653404,0.0156028839115879,0.0453779930422687,0.028999330516767,0.0141117759514266,0.043886885082107405;0.149707870561209,0.0727400108439041,0.0769678597173049,0.22244788140511307,0.148216762601047,0.0754767517571429,0.22095677344495107;0.0152051608879411,0.00759317131459585,0.007611989573345249,0.02279833220253695,0.0137140529277798,0.00612088161318395,0.02130722424237565;0.152352849394724,0.074808933771369,0.07754391562335498,0.22716178316609298,0.150861741434562,0.07605280766319299,0.22567067520593098;0.00160964129464569,0.000785818266873972,0.000823823027771718,0.002395459561519662,0.000118533334484372,-0.0006672849323896,0.000904351601358344;0.0341709847014959,0.0172315182245245,0.016939466476971397,0.0514025029260204,0.0326798767413346,0.0154483585168101,0.0499113949658591;0.000321928260377494,0.000157163653423446,0.000164764606954048,0.00047909191380094004,2.37066683452292e-05,-0.0001334569850782168,0.0001808703217686752;0.00483366323602203,0.00243366508402212,0.00239999815199991,0.007267328320044151,0.00453544164398976,0.00210177655996764,0.006969106728011881}</f>
        <v>0.0496241602274497</v>
      </c>
      <c r="J2" s="10">
        <v>0.0249182683869481</v>
      </c>
      <c r="K2" s="10">
        <v>0.0247058918405016</v>
      </c>
      <c r="L2" s="10">
        <v>0.0745424286143978</v>
      </c>
      <c r="M2" s="10">
        <v>0.0481330522672884</v>
      </c>
      <c r="N2" s="10">
        <v>0.023214783880340303</v>
      </c>
      <c r="O2" s="10">
        <v>0.0730513206542365</v>
      </c>
      <c r="P2" s="10">
        <v>1.7E-4</v>
      </c>
    </row>
    <row r="3">
      <c r="A3" s="12" t="s">
        <v>45</v>
      </c>
      <c r="B3" s="11" t="s">
        <v>59</v>
      </c>
      <c r="C3" s="11" t="s">
        <v>63</v>
      </c>
      <c r="D3" s="12" t="s">
        <v>53</v>
      </c>
      <c r="E3" s="12" t="s">
        <v>64</v>
      </c>
      <c r="F3" s="12" t="s">
        <v>55</v>
      </c>
      <c r="G3" s="12" t="s">
        <v>132</v>
      </c>
      <c r="H3" s="12" t="s">
        <v>67</v>
      </c>
      <c r="I3" s="12">
        <v>0.131857410475659</v>
      </c>
      <c r="J3" s="12">
        <v>0.0659128832970269</v>
      </c>
      <c r="K3" s="12">
        <v>0.0659445271786321</v>
      </c>
      <c r="L3" s="12">
        <v>0.1977702937726859</v>
      </c>
      <c r="M3" s="12">
        <v>0.130366302515497</v>
      </c>
      <c r="N3" s="12">
        <v>0.0644534192184701</v>
      </c>
      <c r="O3" s="12">
        <v>0.1962791858125239</v>
      </c>
      <c r="P3" s="12">
        <v>1.7E-4</v>
      </c>
    </row>
    <row r="4">
      <c r="A4" s="12" t="s">
        <v>45</v>
      </c>
      <c r="B4" s="11" t="s">
        <v>59</v>
      </c>
      <c r="C4" s="11" t="s">
        <v>63</v>
      </c>
      <c r="D4" s="12" t="s">
        <v>53</v>
      </c>
      <c r="E4" s="12" t="s">
        <v>64</v>
      </c>
      <c r="F4" s="12" t="s">
        <v>55</v>
      </c>
      <c r="G4" s="12" t="s">
        <v>66</v>
      </c>
      <c r="H4" s="12" t="s">
        <v>138</v>
      </c>
      <c r="I4" s="12">
        <v>0.0555253604530033</v>
      </c>
      <c r="J4" s="12">
        <v>0.027878699689688</v>
      </c>
      <c r="K4" s="12">
        <v>0.027646660763315296</v>
      </c>
      <c r="L4" s="12">
        <v>0.0834040601426913</v>
      </c>
      <c r="M4" s="12">
        <v>0.054034252492842</v>
      </c>
      <c r="N4" s="12">
        <v>0.026155552803154</v>
      </c>
      <c r="O4" s="12">
        <v>0.08191295218253</v>
      </c>
      <c r="P4" s="12">
        <v>1.7E-4</v>
      </c>
    </row>
    <row r="5">
      <c r="A5" s="12" t="s">
        <v>45</v>
      </c>
      <c r="B5" s="11" t="s">
        <v>59</v>
      </c>
      <c r="C5" s="11" t="s">
        <v>63</v>
      </c>
      <c r="D5" s="12" t="s">
        <v>53</v>
      </c>
      <c r="E5" s="12" t="s">
        <v>64</v>
      </c>
      <c r="F5" s="12" t="s">
        <v>55</v>
      </c>
      <c r="G5" s="12" t="s">
        <v>132</v>
      </c>
      <c r="H5" s="12" t="s">
        <v>138</v>
      </c>
      <c r="I5" s="12">
        <v>0.193286938537866</v>
      </c>
      <c r="J5" s="12">
        <v>0.0941302228667419</v>
      </c>
      <c r="K5" s="12">
        <v>0.0991567156711241</v>
      </c>
      <c r="L5" s="12">
        <v>0.2874171614046079</v>
      </c>
      <c r="M5" s="12">
        <v>0.191795830577704</v>
      </c>
      <c r="N5" s="12">
        <v>0.0976656077109621</v>
      </c>
      <c r="O5" s="12">
        <v>0.2859260534444459</v>
      </c>
      <c r="P5" s="12">
        <v>1.7E-4</v>
      </c>
    </row>
    <row r="6">
      <c r="A6" s="12" t="s">
        <v>45</v>
      </c>
      <c r="B6" s="11" t="s">
        <v>59</v>
      </c>
      <c r="C6" s="11" t="s">
        <v>63</v>
      </c>
      <c r="D6" s="12" t="s">
        <v>53</v>
      </c>
      <c r="E6" s="12" t="s">
        <v>64</v>
      </c>
      <c r="F6" s="12" t="s">
        <v>55</v>
      </c>
      <c r="G6" s="12" t="s">
        <v>66</v>
      </c>
      <c r="H6" s="12" t="s">
        <v>142</v>
      </c>
      <c r="I6" s="12">
        <v>0.0304904384769283</v>
      </c>
      <c r="J6" s="12">
        <v>0.0148875545653404</v>
      </c>
      <c r="K6" s="12">
        <v>0.0156028839115879</v>
      </c>
      <c r="L6" s="12">
        <v>0.0453779930422687</v>
      </c>
      <c r="M6" s="12">
        <v>0.028999330516767</v>
      </c>
      <c r="N6" s="12">
        <v>0.0141117759514266</v>
      </c>
      <c r="O6" s="12">
        <v>0.043886885082107405</v>
      </c>
      <c r="P6" s="12">
        <v>1.7E-4</v>
      </c>
    </row>
    <row r="7">
      <c r="A7" s="12" t="s">
        <v>45</v>
      </c>
      <c r="B7" s="11" t="s">
        <v>59</v>
      </c>
      <c r="C7" s="11" t="s">
        <v>63</v>
      </c>
      <c r="D7" s="12" t="s">
        <v>53</v>
      </c>
      <c r="E7" s="12" t="s">
        <v>64</v>
      </c>
      <c r="F7" s="12" t="s">
        <v>55</v>
      </c>
      <c r="G7" s="12" t="s">
        <v>132</v>
      </c>
      <c r="H7" s="12" t="s">
        <v>142</v>
      </c>
      <c r="I7" s="12">
        <v>0.149707870561209</v>
      </c>
      <c r="J7" s="12">
        <v>0.0727400108439041</v>
      </c>
      <c r="K7" s="12">
        <v>0.0769678597173049</v>
      </c>
      <c r="L7" s="12">
        <v>0.22244788140511307</v>
      </c>
      <c r="M7" s="12">
        <v>0.148216762601047</v>
      </c>
      <c r="N7" s="12">
        <v>0.0754767517571429</v>
      </c>
      <c r="O7" s="12">
        <v>0.22095677344495107</v>
      </c>
      <c r="P7" s="12">
        <v>1.7E-4</v>
      </c>
    </row>
    <row r="8">
      <c r="A8" s="12" t="s">
        <v>45</v>
      </c>
      <c r="B8" s="11" t="s">
        <v>59</v>
      </c>
      <c r="C8" s="11" t="s">
        <v>63</v>
      </c>
      <c r="D8" s="12" t="s">
        <v>53</v>
      </c>
      <c r="E8" s="12" t="s">
        <v>64</v>
      </c>
      <c r="F8" s="12" t="s">
        <v>55</v>
      </c>
      <c r="G8" s="12" t="s">
        <v>66</v>
      </c>
      <c r="H8" s="12" t="s">
        <v>145</v>
      </c>
      <c r="I8" s="12">
        <v>0.0152051608879411</v>
      </c>
      <c r="J8" s="12">
        <v>0.00759317131459585</v>
      </c>
      <c r="K8" s="12">
        <v>0.007611989573345249</v>
      </c>
      <c r="L8" s="12">
        <v>0.02279833220253695</v>
      </c>
      <c r="M8" s="12">
        <v>0.0137140529277798</v>
      </c>
      <c r="N8" s="12">
        <v>0.00612088161318395</v>
      </c>
      <c r="O8" s="12">
        <v>0.02130722424237565</v>
      </c>
      <c r="P8" s="12">
        <v>1.7E-4</v>
      </c>
    </row>
    <row r="9">
      <c r="A9" s="12" t="s">
        <v>45</v>
      </c>
      <c r="B9" s="11" t="s">
        <v>59</v>
      </c>
      <c r="C9" s="11" t="s">
        <v>63</v>
      </c>
      <c r="D9" s="12" t="s">
        <v>53</v>
      </c>
      <c r="E9" s="12" t="s">
        <v>64</v>
      </c>
      <c r="F9" s="12" t="s">
        <v>55</v>
      </c>
      <c r="G9" s="12" t="s">
        <v>132</v>
      </c>
      <c r="H9" s="12" t="s">
        <v>145</v>
      </c>
      <c r="I9" s="12">
        <v>0.152352849394724</v>
      </c>
      <c r="J9" s="12">
        <v>0.074808933771369</v>
      </c>
      <c r="K9" s="12">
        <v>0.07754391562335498</v>
      </c>
      <c r="L9" s="12">
        <v>0.22716178316609298</v>
      </c>
      <c r="M9" s="12">
        <v>0.150861741434562</v>
      </c>
      <c r="N9" s="12">
        <v>0.07605280766319299</v>
      </c>
      <c r="O9" s="12">
        <v>0.22567067520593098</v>
      </c>
      <c r="P9" s="12">
        <v>1.7E-4</v>
      </c>
    </row>
    <row r="10">
      <c r="A10" s="12" t="s">
        <v>45</v>
      </c>
      <c r="B10" s="11" t="s">
        <v>59</v>
      </c>
      <c r="C10" s="11" t="s">
        <v>63</v>
      </c>
      <c r="D10" s="12" t="s">
        <v>53</v>
      </c>
      <c r="E10" s="12" t="s">
        <v>64</v>
      </c>
      <c r="F10" s="12" t="s">
        <v>55</v>
      </c>
      <c r="G10" s="12" t="s">
        <v>66</v>
      </c>
      <c r="H10" s="12" t="s">
        <v>148</v>
      </c>
      <c r="I10" s="12">
        <v>0.00160964129464569</v>
      </c>
      <c r="J10" s="12">
        <v>0.000785818266873972</v>
      </c>
      <c r="K10" s="12">
        <v>0.000823823027771718</v>
      </c>
      <c r="L10" s="12">
        <v>0.002395459561519662</v>
      </c>
      <c r="M10" s="12">
        <v>0.000118533334484372</v>
      </c>
      <c r="N10" s="12">
        <v>-0.0006672849323896</v>
      </c>
      <c r="O10" s="12">
        <v>0.000904351601358344</v>
      </c>
      <c r="P10" s="12">
        <v>1.7E-4</v>
      </c>
    </row>
    <row r="11">
      <c r="A11" s="12" t="s">
        <v>45</v>
      </c>
      <c r="B11" s="11" t="s">
        <v>59</v>
      </c>
      <c r="C11" s="11" t="s">
        <v>63</v>
      </c>
      <c r="D11" s="12" t="s">
        <v>53</v>
      </c>
      <c r="E11" s="12" t="s">
        <v>64</v>
      </c>
      <c r="F11" s="12" t="s">
        <v>55</v>
      </c>
      <c r="G11" s="12" t="s">
        <v>132</v>
      </c>
      <c r="H11" s="12" t="s">
        <v>148</v>
      </c>
      <c r="I11" s="12">
        <v>0.0341709847014959</v>
      </c>
      <c r="J11" s="12">
        <v>0.0172315182245245</v>
      </c>
      <c r="K11" s="12">
        <v>0.016939466476971397</v>
      </c>
      <c r="L11" s="12">
        <v>0.0514025029260204</v>
      </c>
      <c r="M11" s="12">
        <v>0.0326798767413346</v>
      </c>
      <c r="N11" s="12">
        <v>0.0154483585168101</v>
      </c>
      <c r="O11" s="12">
        <v>0.0499113949658591</v>
      </c>
      <c r="P11" s="12">
        <v>1.7E-4</v>
      </c>
    </row>
    <row r="12">
      <c r="A12" s="12" t="s">
        <v>45</v>
      </c>
      <c r="B12" s="11" t="s">
        <v>59</v>
      </c>
      <c r="C12" s="11" t="s">
        <v>63</v>
      </c>
      <c r="D12" s="12" t="s">
        <v>53</v>
      </c>
      <c r="E12" s="12" t="s">
        <v>64</v>
      </c>
      <c r="F12" s="12" t="s">
        <v>55</v>
      </c>
      <c r="G12" s="12" t="s">
        <v>66</v>
      </c>
      <c r="H12" s="12" t="s">
        <v>151</v>
      </c>
      <c r="I12" s="12">
        <v>0.000321928260377494</v>
      </c>
      <c r="J12" s="12">
        <v>0.000157163653423446</v>
      </c>
      <c r="K12" s="12">
        <v>0.000164764606954048</v>
      </c>
      <c r="L12" s="12">
        <v>0.00047909191380094004</v>
      </c>
      <c r="M12" s="12">
        <v>2.37066683452292e-05</v>
      </c>
      <c r="N12" s="12">
        <v>-0.0001334569850782168</v>
      </c>
      <c r="O12" s="12">
        <v>0.0001808703217686752</v>
      </c>
      <c r="P12" s="12">
        <v>1.7E-4</v>
      </c>
    </row>
    <row r="13">
      <c r="A13" s="12" t="s">
        <v>45</v>
      </c>
      <c r="B13" s="11" t="s">
        <v>59</v>
      </c>
      <c r="C13" s="11" t="s">
        <v>63</v>
      </c>
      <c r="D13" s="12" t="s">
        <v>53</v>
      </c>
      <c r="E13" s="12" t="s">
        <v>64</v>
      </c>
      <c r="F13" s="12" t="s">
        <v>55</v>
      </c>
      <c r="G13" s="12" t="s">
        <v>132</v>
      </c>
      <c r="H13" s="12" t="s">
        <v>151</v>
      </c>
      <c r="I13" s="12">
        <v>0.00483366323602203</v>
      </c>
      <c r="J13" s="12">
        <v>0.00243366508402212</v>
      </c>
      <c r="K13" s="12">
        <v>0.00239999815199991</v>
      </c>
      <c r="L13" s="12">
        <v>0.007267328320044151</v>
      </c>
      <c r="M13" s="12">
        <v>0.00453544164398976</v>
      </c>
      <c r="N13" s="12">
        <v>0.00210177655996764</v>
      </c>
      <c r="O13" s="12">
        <v>0.006969106728011881</v>
      </c>
      <c r="P13" s="12">
        <v>1.7E-4</v>
      </c>
    </row>
    <row r="14" ht="15.75" customHeight="1">
      <c r="A14" s="12" t="s">
        <v>45</v>
      </c>
      <c r="B14" s="12" t="s">
        <v>97</v>
      </c>
      <c r="C14" s="12" t="s">
        <v>234</v>
      </c>
      <c r="D14" s="12" t="s">
        <v>53</v>
      </c>
      <c r="E14" s="12" t="s">
        <v>253</v>
      </c>
      <c r="F14" s="12" t="s">
        <v>75</v>
      </c>
      <c r="G14" s="12" t="s">
        <v>66</v>
      </c>
      <c r="H14" s="12" t="s">
        <v>67</v>
      </c>
      <c r="I14" s="12">
        <v>-42.76666815762597</v>
      </c>
      <c r="J14" s="12">
        <v>23.79419569649925</v>
      </c>
      <c r="K14" s="12">
        <v>-66.56086385412522</v>
      </c>
      <c r="L14" s="12">
        <v>-18.97247246112672</v>
      </c>
      <c r="M14" s="12">
        <v>-42.76666815762597</v>
      </c>
      <c r="N14" s="12">
        <v>-66.56086385412522</v>
      </c>
      <c r="O14" s="12">
        <v>-18.97247246112672</v>
      </c>
      <c r="P14" s="12">
        <v>0.0</v>
      </c>
    </row>
    <row r="15" ht="15.75" customHeight="1">
      <c r="A15" s="12" t="s">
        <v>45</v>
      </c>
      <c r="B15" s="12" t="s">
        <v>97</v>
      </c>
      <c r="C15" s="12" t="s">
        <v>234</v>
      </c>
      <c r="D15" s="12" t="s">
        <v>53</v>
      </c>
      <c r="E15" s="12" t="s">
        <v>253</v>
      </c>
      <c r="F15" s="12" t="s">
        <v>75</v>
      </c>
      <c r="G15" s="12" t="s">
        <v>132</v>
      </c>
      <c r="H15" s="12" t="s">
        <v>67</v>
      </c>
      <c r="I15" s="12">
        <v>-20.700006050432723</v>
      </c>
      <c r="J15" s="12">
        <v>23.794195696524817</v>
      </c>
      <c r="K15" s="12">
        <v>-44.49420174695754</v>
      </c>
      <c r="L15" s="12">
        <v>3.0941896460920937</v>
      </c>
      <c r="M15" s="12">
        <v>-20.700006050432723</v>
      </c>
      <c r="N15" s="12">
        <v>-44.49420174695754</v>
      </c>
      <c r="O15" s="12">
        <v>3.0941896460920937</v>
      </c>
      <c r="P15" s="12">
        <v>0.0</v>
      </c>
    </row>
    <row r="16" ht="15.75" customHeight="1">
      <c r="A16" s="12" t="s">
        <v>45</v>
      </c>
      <c r="B16" s="12" t="s">
        <v>97</v>
      </c>
      <c r="C16" s="12" t="s">
        <v>234</v>
      </c>
      <c r="D16" s="12" t="s">
        <v>53</v>
      </c>
      <c r="E16" s="12" t="s">
        <v>253</v>
      </c>
      <c r="F16" s="12" t="s">
        <v>75</v>
      </c>
      <c r="G16" s="12" t="s">
        <v>66</v>
      </c>
      <c r="H16" s="12" t="s">
        <v>138</v>
      </c>
      <c r="I16" s="12">
        <v>-32.13334380946314</v>
      </c>
      <c r="J16" s="12">
        <v>23.79419569650386</v>
      </c>
      <c r="K16" s="12">
        <v>-55.927539505967005</v>
      </c>
      <c r="L16" s="12">
        <v>-8.339148112959283</v>
      </c>
      <c r="M16" s="12">
        <v>-32.13334380946314</v>
      </c>
      <c r="N16" s="12">
        <v>-55.927539505967005</v>
      </c>
      <c r="O16" s="12">
        <v>-8.339148112959283</v>
      </c>
      <c r="P16" s="12">
        <v>0.0</v>
      </c>
    </row>
    <row r="17" ht="15.75" customHeight="1">
      <c r="A17" s="12" t="s">
        <v>45</v>
      </c>
      <c r="B17" s="12" t="s">
        <v>97</v>
      </c>
      <c r="C17" s="12" t="s">
        <v>234</v>
      </c>
      <c r="D17" s="12" t="s">
        <v>53</v>
      </c>
      <c r="E17" s="12" t="s">
        <v>253</v>
      </c>
      <c r="F17" s="12" t="s">
        <v>75</v>
      </c>
      <c r="G17" s="12" t="s">
        <v>132</v>
      </c>
      <c r="H17" s="12" t="s">
        <v>138</v>
      </c>
      <c r="I17" s="12">
        <v>-17.70000858543383</v>
      </c>
      <c r="J17" s="12">
        <v>23.79419569650629</v>
      </c>
      <c r="K17" s="12">
        <v>-41.49420428194012</v>
      </c>
      <c r="L17" s="12">
        <v>6.094187111072458</v>
      </c>
      <c r="M17" s="12">
        <v>-17.70000858543383</v>
      </c>
      <c r="N17" s="12">
        <v>-41.49420428194012</v>
      </c>
      <c r="O17" s="12">
        <v>6.094187111072458</v>
      </c>
      <c r="P17" s="12">
        <v>0.0</v>
      </c>
    </row>
    <row r="18" ht="15.75" customHeight="1">
      <c r="A18" s="12" t="s">
        <v>45</v>
      </c>
      <c r="B18" s="12" t="s">
        <v>97</v>
      </c>
      <c r="C18" s="12" t="s">
        <v>234</v>
      </c>
      <c r="D18" s="12" t="s">
        <v>53</v>
      </c>
      <c r="E18" s="12" t="s">
        <v>253</v>
      </c>
      <c r="F18" s="12" t="s">
        <v>75</v>
      </c>
      <c r="G18" s="12" t="s">
        <v>66</v>
      </c>
      <c r="H18" s="12" t="s">
        <v>142</v>
      </c>
      <c r="I18" s="12">
        <v>-34.23334203496237</v>
      </c>
      <c r="J18" s="12">
        <v>23.79419569650761</v>
      </c>
      <c r="K18" s="12">
        <v>-58.02753773146998</v>
      </c>
      <c r="L18" s="12">
        <v>-10.439146338454758</v>
      </c>
      <c r="M18" s="12">
        <v>-34.23334203496237</v>
      </c>
      <c r="N18" s="12">
        <v>-58.02753773146998</v>
      </c>
      <c r="O18" s="12">
        <v>-10.439146338454758</v>
      </c>
      <c r="P18" s="12">
        <v>0.0</v>
      </c>
    </row>
    <row r="19" ht="15.75" customHeight="1">
      <c r="A19" s="12" t="s">
        <v>45</v>
      </c>
      <c r="B19" s="12" t="s">
        <v>97</v>
      </c>
      <c r="C19" s="12" t="s">
        <v>234</v>
      </c>
      <c r="D19" s="12" t="s">
        <v>53</v>
      </c>
      <c r="E19" s="12" t="s">
        <v>253</v>
      </c>
      <c r="F19" s="12" t="s">
        <v>75</v>
      </c>
      <c r="G19" s="12" t="s">
        <v>132</v>
      </c>
      <c r="H19" s="12" t="s">
        <v>142</v>
      </c>
      <c r="I19" s="12">
        <v>-17.566675364767196</v>
      </c>
      <c r="J19" s="12">
        <v>23.794195696521808</v>
      </c>
      <c r="K19" s="12">
        <v>-41.360871061289004</v>
      </c>
      <c r="L19" s="12">
        <v>6.2275203317546115</v>
      </c>
      <c r="M19" s="12">
        <v>-17.566675364767196</v>
      </c>
      <c r="N19" s="12">
        <v>-41.360871061289004</v>
      </c>
      <c r="O19" s="12">
        <v>6.2275203317546115</v>
      </c>
      <c r="P19" s="12">
        <v>0.0</v>
      </c>
    </row>
    <row r="20" ht="15.75" customHeight="1">
      <c r="A20" s="12" t="s">
        <v>45</v>
      </c>
      <c r="B20" s="12" t="s">
        <v>97</v>
      </c>
      <c r="C20" s="12" t="s">
        <v>234</v>
      </c>
      <c r="D20" s="12" t="s">
        <v>53</v>
      </c>
      <c r="E20" s="12" t="s">
        <v>253</v>
      </c>
      <c r="F20" s="12" t="s">
        <v>75</v>
      </c>
      <c r="G20" s="12" t="s">
        <v>66</v>
      </c>
      <c r="H20" s="12" t="s">
        <v>145</v>
      </c>
      <c r="I20" s="12">
        <v>-52.66665979212244</v>
      </c>
      <c r="J20" s="12">
        <v>23.794195696539</v>
      </c>
      <c r="K20" s="12">
        <v>-76.46085548866144</v>
      </c>
      <c r="L20" s="12">
        <v>-28.87246409558344</v>
      </c>
      <c r="M20" s="12">
        <v>-52.66665979212244</v>
      </c>
      <c r="N20" s="12">
        <v>-76.46085548866144</v>
      </c>
      <c r="O20" s="12">
        <v>-28.87246409558344</v>
      </c>
      <c r="P20" s="12">
        <v>0.0</v>
      </c>
    </row>
    <row r="21" ht="15.75" customHeight="1">
      <c r="A21" s="12" t="s">
        <v>45</v>
      </c>
      <c r="B21" s="12" t="s">
        <v>97</v>
      </c>
      <c r="C21" s="12" t="s">
        <v>234</v>
      </c>
      <c r="D21" s="12" t="s">
        <v>53</v>
      </c>
      <c r="E21" s="12" t="s">
        <v>253</v>
      </c>
      <c r="F21" s="12" t="s">
        <v>75</v>
      </c>
      <c r="G21" s="12" t="s">
        <v>132</v>
      </c>
      <c r="H21" s="12" t="s">
        <v>145</v>
      </c>
      <c r="I21" s="12">
        <v>-25.833335046097567</v>
      </c>
      <c r="J21" s="12">
        <v>23.794195696509025</v>
      </c>
      <c r="K21" s="12">
        <v>-49.627530742606595</v>
      </c>
      <c r="L21" s="12">
        <v>-2.0391393495885417</v>
      </c>
      <c r="M21" s="12">
        <v>-25.833335046097567</v>
      </c>
      <c r="N21" s="12">
        <v>-49.627530742606595</v>
      </c>
      <c r="O21" s="12">
        <v>-2.0391393495885417</v>
      </c>
      <c r="P21" s="12">
        <v>0.0</v>
      </c>
    </row>
    <row r="22" ht="15.75" customHeight="1">
      <c r="A22" s="12" t="s">
        <v>45</v>
      </c>
      <c r="B22" s="12" t="s">
        <v>97</v>
      </c>
      <c r="C22" s="12" t="s">
        <v>234</v>
      </c>
      <c r="D22" s="12" t="s">
        <v>53</v>
      </c>
      <c r="E22" s="12" t="s">
        <v>253</v>
      </c>
      <c r="F22" s="12" t="s">
        <v>75</v>
      </c>
      <c r="G22" s="12" t="s">
        <v>66</v>
      </c>
      <c r="H22" s="12" t="s">
        <v>148</v>
      </c>
      <c r="I22" s="12">
        <v>-110.76661069760166</v>
      </c>
      <c r="J22" s="12">
        <v>23.794195696533734</v>
      </c>
      <c r="K22" s="12">
        <v>-134.5608063941354</v>
      </c>
      <c r="L22" s="12">
        <v>-86.97241500106793</v>
      </c>
      <c r="M22" s="12">
        <v>-110.76661069760166</v>
      </c>
      <c r="N22" s="12">
        <v>-134.5608063941354</v>
      </c>
      <c r="O22" s="12">
        <v>-86.97241500106793</v>
      </c>
      <c r="P22" s="12">
        <v>0.0</v>
      </c>
    </row>
    <row r="23" ht="15.75" customHeight="1">
      <c r="A23" s="12" t="s">
        <v>45</v>
      </c>
      <c r="B23" s="12" t="s">
        <v>97</v>
      </c>
      <c r="C23" s="12" t="s">
        <v>234</v>
      </c>
      <c r="D23" s="12" t="s">
        <v>53</v>
      </c>
      <c r="E23" s="12" t="s">
        <v>253</v>
      </c>
      <c r="F23" s="12" t="s">
        <v>75</v>
      </c>
      <c r="G23" s="12" t="s">
        <v>132</v>
      </c>
      <c r="H23" s="12" t="s">
        <v>148</v>
      </c>
      <c r="I23" s="12">
        <v>-60.13330606258529</v>
      </c>
      <c r="J23" s="12">
        <v>23.794195696538935</v>
      </c>
      <c r="K23" s="12">
        <v>-83.92750175912423</v>
      </c>
      <c r="L23" s="12">
        <v>-36.339110366046356</v>
      </c>
      <c r="M23" s="12">
        <v>-60.13330606258529</v>
      </c>
      <c r="N23" s="12">
        <v>-83.92750175912423</v>
      </c>
      <c r="O23" s="12">
        <v>-36.339110366046356</v>
      </c>
      <c r="P23" s="12">
        <v>0.0</v>
      </c>
    </row>
    <row r="24" ht="15.75" customHeight="1">
      <c r="A24" s="12" t="s">
        <v>45</v>
      </c>
      <c r="B24" s="12" t="s">
        <v>97</v>
      </c>
      <c r="C24" s="12" t="s">
        <v>234</v>
      </c>
      <c r="D24" s="12" t="s">
        <v>53</v>
      </c>
      <c r="E24" s="12" t="s">
        <v>253</v>
      </c>
      <c r="F24" s="12" t="s">
        <v>75</v>
      </c>
      <c r="G24" s="12" t="s">
        <v>66</v>
      </c>
      <c r="H24" s="12" t="s">
        <v>151</v>
      </c>
      <c r="I24" s="12">
        <v>-193.13322834747248</v>
      </c>
      <c r="J24" s="12">
        <v>23.79419569654455</v>
      </c>
      <c r="K24" s="12">
        <v>-216.92742404401702</v>
      </c>
      <c r="L24" s="12">
        <v>-169.33903265092795</v>
      </c>
      <c r="M24" s="12">
        <v>-193.13322834747248</v>
      </c>
      <c r="N24" s="12">
        <v>-216.92742404401702</v>
      </c>
      <c r="O24" s="12">
        <v>-169.33903265092795</v>
      </c>
      <c r="P24" s="12">
        <v>0.0</v>
      </c>
    </row>
    <row r="25" ht="15.75" customHeight="1">
      <c r="A25" s="12" t="s">
        <v>45</v>
      </c>
      <c r="B25" s="12" t="s">
        <v>97</v>
      </c>
      <c r="C25" s="12" t="s">
        <v>234</v>
      </c>
      <c r="D25" s="12" t="s">
        <v>53</v>
      </c>
      <c r="E25" s="12" t="s">
        <v>253</v>
      </c>
      <c r="F25" s="12" t="s">
        <v>75</v>
      </c>
      <c r="G25" s="12" t="s">
        <v>132</v>
      </c>
      <c r="H25" s="12" t="s">
        <v>151</v>
      </c>
      <c r="I25" s="12">
        <v>-137.96658266440244</v>
      </c>
      <c r="J25" s="12">
        <v>23.794195696541813</v>
      </c>
      <c r="K25" s="12">
        <v>-161.76077836094424</v>
      </c>
      <c r="L25" s="12">
        <v>-114.17238696786063</v>
      </c>
      <c r="M25" s="12">
        <v>-137.96658266440244</v>
      </c>
      <c r="N25" s="12">
        <v>-161.76077836094424</v>
      </c>
      <c r="O25" s="12">
        <v>-114.17238696786063</v>
      </c>
      <c r="P25" s="12">
        <v>0.0</v>
      </c>
    </row>
    <row r="26" ht="15.75" customHeight="1">
      <c r="A26" s="12" t="s">
        <v>45</v>
      </c>
      <c r="B26" s="12" t="s">
        <v>49</v>
      </c>
      <c r="C26" s="12" t="s">
        <v>3</v>
      </c>
      <c r="D26" s="12" t="s">
        <v>53</v>
      </c>
      <c r="E26" s="12" t="s">
        <v>328</v>
      </c>
      <c r="F26" s="12" t="s">
        <v>55</v>
      </c>
      <c r="G26" s="12" t="s">
        <v>66</v>
      </c>
      <c r="H26" s="12" t="s">
        <v>67</v>
      </c>
      <c r="I26" s="12">
        <v>0.3334526365520216</v>
      </c>
      <c r="J26" s="12">
        <v>0.06526828053695077</v>
      </c>
      <c r="K26" s="12">
        <v>0.26818435601507085</v>
      </c>
      <c r="L26" s="12">
        <v>0.3987209170889724</v>
      </c>
      <c r="M26" s="12">
        <v>0.3334526365520216</v>
      </c>
      <c r="N26" s="12">
        <v>0.26818435601507085</v>
      </c>
      <c r="O26" s="12">
        <v>0.3987209170889724</v>
      </c>
      <c r="P26" s="12">
        <v>0.0</v>
      </c>
    </row>
    <row r="27" ht="15.75" customHeight="1">
      <c r="A27" s="12" t="s">
        <v>45</v>
      </c>
      <c r="B27" s="12" t="s">
        <v>49</v>
      </c>
      <c r="C27" s="12" t="s">
        <v>3</v>
      </c>
      <c r="D27" s="12" t="s">
        <v>53</v>
      </c>
      <c r="E27" s="12" t="s">
        <v>328</v>
      </c>
      <c r="F27" s="12" t="s">
        <v>55</v>
      </c>
      <c r="G27" s="12" t="s">
        <v>132</v>
      </c>
      <c r="H27" s="12" t="s">
        <v>67</v>
      </c>
      <c r="I27" s="12">
        <v>0.5572613891879633</v>
      </c>
      <c r="J27" s="12">
        <v>0.10898382570988024</v>
      </c>
      <c r="K27" s="12">
        <v>0.44827756347808306</v>
      </c>
      <c r="L27" s="12">
        <v>0.6662452148978435</v>
      </c>
      <c r="M27" s="12">
        <v>0.5572613891879633</v>
      </c>
      <c r="N27" s="12">
        <v>0.44827756347808306</v>
      </c>
      <c r="O27" s="12">
        <v>0.6662452148978435</v>
      </c>
      <c r="P27" s="12">
        <v>0.0</v>
      </c>
    </row>
    <row r="28" ht="15.75" customHeight="1">
      <c r="A28" s="12" t="s">
        <v>45</v>
      </c>
      <c r="B28" s="12" t="s">
        <v>49</v>
      </c>
      <c r="C28" s="12" t="s">
        <v>3</v>
      </c>
      <c r="D28" s="12" t="s">
        <v>53</v>
      </c>
      <c r="E28" s="12" t="s">
        <v>328</v>
      </c>
      <c r="F28" s="12" t="s">
        <v>55</v>
      </c>
      <c r="G28" s="12" t="s">
        <v>66</v>
      </c>
      <c r="H28" s="12" t="s">
        <v>138</v>
      </c>
      <c r="I28" s="12">
        <v>0.31416431126921596</v>
      </c>
      <c r="J28" s="12">
        <v>0.06145649300555893</v>
      </c>
      <c r="K28" s="12">
        <v>0.252707818263657</v>
      </c>
      <c r="L28" s="12">
        <v>0.3756208042747749</v>
      </c>
      <c r="M28" s="12">
        <v>0.31416431126921596</v>
      </c>
      <c r="N28" s="12">
        <v>0.252707818263657</v>
      </c>
      <c r="O28" s="12">
        <v>0.3756208042747749</v>
      </c>
      <c r="P28" s="12">
        <v>0.0</v>
      </c>
    </row>
    <row r="29" ht="15.75" customHeight="1">
      <c r="A29" s="12" t="s">
        <v>45</v>
      </c>
      <c r="B29" s="12" t="s">
        <v>49</v>
      </c>
      <c r="C29" s="12" t="s">
        <v>3</v>
      </c>
      <c r="D29" s="12" t="s">
        <v>53</v>
      </c>
      <c r="E29" s="12" t="s">
        <v>328</v>
      </c>
      <c r="F29" s="12" t="s">
        <v>55</v>
      </c>
      <c r="G29" s="12" t="s">
        <v>132</v>
      </c>
      <c r="H29" s="12" t="s">
        <v>138</v>
      </c>
      <c r="I29" s="12">
        <v>0.5001164170503788</v>
      </c>
      <c r="J29" s="12">
        <v>0.09809334964480164</v>
      </c>
      <c r="K29" s="12">
        <v>0.40202306740557714</v>
      </c>
      <c r="L29" s="12">
        <v>0.5982097666951804</v>
      </c>
      <c r="M29" s="12">
        <v>0.5001164170503788</v>
      </c>
      <c r="N29" s="12">
        <v>0.40202306740557714</v>
      </c>
      <c r="O29" s="12">
        <v>0.5982097666951804</v>
      </c>
      <c r="P29" s="12">
        <v>0.0</v>
      </c>
    </row>
    <row r="30" ht="15.75" customHeight="1">
      <c r="A30" s="12" t="s">
        <v>45</v>
      </c>
      <c r="B30" s="12" t="s">
        <v>49</v>
      </c>
      <c r="C30" s="12" t="s">
        <v>3</v>
      </c>
      <c r="D30" s="12" t="s">
        <v>53</v>
      </c>
      <c r="E30" s="12" t="s">
        <v>328</v>
      </c>
      <c r="F30" s="12" t="s">
        <v>55</v>
      </c>
      <c r="G30" s="12" t="s">
        <v>66</v>
      </c>
      <c r="H30" s="12" t="s">
        <v>142</v>
      </c>
      <c r="I30" s="12">
        <v>0.37356538839352565</v>
      </c>
      <c r="J30" s="12">
        <v>0.07320250695349474</v>
      </c>
      <c r="K30" s="12">
        <v>0.3003628814400309</v>
      </c>
      <c r="L30" s="12">
        <v>0.4467678953470204</v>
      </c>
      <c r="M30" s="12">
        <v>0.37356538839352565</v>
      </c>
      <c r="N30" s="12">
        <v>0.3003628814400309</v>
      </c>
      <c r="O30" s="12">
        <v>0.4467678953470204</v>
      </c>
      <c r="P30" s="12">
        <v>0.0</v>
      </c>
    </row>
    <row r="31" ht="15.75" customHeight="1">
      <c r="A31" s="12" t="s">
        <v>45</v>
      </c>
      <c r="B31" s="12" t="s">
        <v>49</v>
      </c>
      <c r="C31" s="12" t="s">
        <v>3</v>
      </c>
      <c r="D31" s="12" t="s">
        <v>53</v>
      </c>
      <c r="E31" s="12" t="s">
        <v>328</v>
      </c>
      <c r="F31" s="12" t="s">
        <v>55</v>
      </c>
      <c r="G31" s="12" t="s">
        <v>132</v>
      </c>
      <c r="H31" s="12" t="s">
        <v>142</v>
      </c>
      <c r="I31" s="12">
        <v>0.39128346886577964</v>
      </c>
      <c r="J31" s="12">
        <v>0.07656290569410741</v>
      </c>
      <c r="K31" s="12">
        <v>0.31472056317167224</v>
      </c>
      <c r="L31" s="12">
        <v>0.46784637455988703</v>
      </c>
      <c r="M31" s="12">
        <v>0.39128346886577964</v>
      </c>
      <c r="N31" s="12">
        <v>0.31472056317167224</v>
      </c>
      <c r="O31" s="12">
        <v>0.46784637455988703</v>
      </c>
      <c r="P31" s="12">
        <v>0.0</v>
      </c>
    </row>
    <row r="32" ht="15.75" customHeight="1">
      <c r="A32" s="12" t="s">
        <v>45</v>
      </c>
      <c r="B32" s="12" t="s">
        <v>49</v>
      </c>
      <c r="C32" s="12" t="s">
        <v>3</v>
      </c>
      <c r="D32" s="12" t="s">
        <v>53</v>
      </c>
      <c r="E32" s="12" t="s">
        <v>328</v>
      </c>
      <c r="F32" s="12" t="s">
        <v>55</v>
      </c>
      <c r="G32" s="12" t="s">
        <v>66</v>
      </c>
      <c r="H32" s="12" t="s">
        <v>145</v>
      </c>
      <c r="I32" s="12">
        <v>0.3043346552022541</v>
      </c>
      <c r="J32" s="12">
        <v>0.060416380017638424</v>
      </c>
      <c r="K32" s="12">
        <v>0.24391827518461567</v>
      </c>
      <c r="L32" s="12">
        <v>0.36475103521989255</v>
      </c>
      <c r="M32" s="12">
        <v>0.3043346552022541</v>
      </c>
      <c r="N32" s="12">
        <v>0.24391827518461567</v>
      </c>
      <c r="O32" s="12">
        <v>0.36475103521989255</v>
      </c>
      <c r="P32" s="12">
        <v>0.0</v>
      </c>
    </row>
    <row r="33" ht="15.75" customHeight="1">
      <c r="A33" s="12" t="s">
        <v>45</v>
      </c>
      <c r="B33" s="12" t="s">
        <v>49</v>
      </c>
      <c r="C33" s="12" t="s">
        <v>3</v>
      </c>
      <c r="D33" s="12" t="s">
        <v>53</v>
      </c>
      <c r="E33" s="12" t="s">
        <v>328</v>
      </c>
      <c r="F33" s="12" t="s">
        <v>55</v>
      </c>
      <c r="G33" s="12" t="s">
        <v>132</v>
      </c>
      <c r="H33" s="12" t="s">
        <v>145</v>
      </c>
      <c r="I33" s="12">
        <v>0.2829506240994152</v>
      </c>
      <c r="J33" s="12">
        <v>0.05532991846491072</v>
      </c>
      <c r="K33" s="12">
        <v>0.22762070563450446</v>
      </c>
      <c r="L33" s="12">
        <v>0.3382805425643259</v>
      </c>
      <c r="M33" s="12">
        <v>0.2829506240994152</v>
      </c>
      <c r="N33" s="12">
        <v>0.22762070563450446</v>
      </c>
      <c r="O33" s="12">
        <v>0.3382805425643259</v>
      </c>
      <c r="P33" s="12">
        <v>0.0</v>
      </c>
    </row>
    <row r="34" ht="15.75" customHeight="1">
      <c r="A34" s="12" t="s">
        <v>45</v>
      </c>
      <c r="B34" s="12" t="s">
        <v>49</v>
      </c>
      <c r="C34" s="12" t="s">
        <v>3</v>
      </c>
      <c r="D34" s="12" t="s">
        <v>53</v>
      </c>
      <c r="E34" s="12" t="s">
        <v>328</v>
      </c>
      <c r="F34" s="12" t="s">
        <v>55</v>
      </c>
      <c r="G34" s="12" t="s">
        <v>66</v>
      </c>
      <c r="H34" s="12" t="s">
        <v>148</v>
      </c>
      <c r="I34" s="12">
        <v>0.11646233692784733</v>
      </c>
      <c r="J34" s="12">
        <v>0.023010533054677797</v>
      </c>
      <c r="K34" s="12">
        <v>0.09345180387316954</v>
      </c>
      <c r="L34" s="12">
        <v>0.13947286998252512</v>
      </c>
      <c r="M34" s="12">
        <v>0.11646233692784733</v>
      </c>
      <c r="N34" s="12">
        <v>0.09345180387316954</v>
      </c>
      <c r="O34" s="12">
        <v>0.13947286998252512</v>
      </c>
      <c r="P34" s="12">
        <v>0.0</v>
      </c>
    </row>
    <row r="35" ht="15.75" customHeight="1">
      <c r="A35" s="12" t="s">
        <v>45</v>
      </c>
      <c r="B35" s="12" t="s">
        <v>49</v>
      </c>
      <c r="C35" s="12" t="s">
        <v>3</v>
      </c>
      <c r="D35" s="12" t="s">
        <v>53</v>
      </c>
      <c r="E35" s="12" t="s">
        <v>328</v>
      </c>
      <c r="F35" s="12" t="s">
        <v>55</v>
      </c>
      <c r="G35" s="12" t="s">
        <v>132</v>
      </c>
      <c r="H35" s="12" t="s">
        <v>148</v>
      </c>
      <c r="I35" s="12">
        <v>0.2245267775325785</v>
      </c>
      <c r="J35" s="12">
        <v>0.0439215696340703</v>
      </c>
      <c r="K35" s="12">
        <v>0.1806052078985082</v>
      </c>
      <c r="L35" s="12">
        <v>0.2684483471666488</v>
      </c>
      <c r="M35" s="12">
        <v>0.2245267775325785</v>
      </c>
      <c r="N35" s="12">
        <v>0.1806052078985082</v>
      </c>
      <c r="O35" s="12">
        <v>0.2684483471666488</v>
      </c>
      <c r="P35" s="12">
        <v>0.0</v>
      </c>
    </row>
    <row r="36" ht="15.75" customHeight="1">
      <c r="A36" s="12" t="s">
        <v>45</v>
      </c>
      <c r="B36" s="12" t="s">
        <v>49</v>
      </c>
      <c r="C36" s="12" t="s">
        <v>3</v>
      </c>
      <c r="D36" s="12" t="s">
        <v>53</v>
      </c>
      <c r="E36" s="12" t="s">
        <v>328</v>
      </c>
      <c r="F36" s="12" t="s">
        <v>55</v>
      </c>
      <c r="G36" s="12" t="s">
        <v>66</v>
      </c>
      <c r="H36" s="12" t="s">
        <v>151</v>
      </c>
      <c r="I36" s="12">
        <v>0.12231901703810215</v>
      </c>
      <c r="J36" s="12">
        <v>0.024358404144123103</v>
      </c>
      <c r="K36" s="12">
        <v>0.09796061289397905</v>
      </c>
      <c r="L36" s="12">
        <v>0.14667742118222526</v>
      </c>
      <c r="M36" s="12">
        <v>0.12231901703810215</v>
      </c>
      <c r="N36" s="12">
        <v>0.09796061289397905</v>
      </c>
      <c r="O36" s="12">
        <v>0.14667742118222526</v>
      </c>
      <c r="P36" s="12">
        <v>0.0</v>
      </c>
    </row>
    <row r="37" ht="15.75" customHeight="1">
      <c r="A37" s="12" t="s">
        <v>45</v>
      </c>
      <c r="B37" s="12" t="s">
        <v>49</v>
      </c>
      <c r="C37" s="12" t="s">
        <v>3</v>
      </c>
      <c r="D37" s="12" t="s">
        <v>53</v>
      </c>
      <c r="E37" s="12" t="s">
        <v>328</v>
      </c>
      <c r="F37" s="12" t="s">
        <v>55</v>
      </c>
      <c r="G37" s="12" t="s">
        <v>132</v>
      </c>
      <c r="H37" s="12" t="s">
        <v>151</v>
      </c>
      <c r="I37" s="12">
        <v>0.19129870632034332</v>
      </c>
      <c r="J37" s="12">
        <v>0.03742953720058925</v>
      </c>
      <c r="K37" s="12">
        <v>0.15386916911975407</v>
      </c>
      <c r="L37" s="12">
        <v>0.22872824352093257</v>
      </c>
      <c r="M37" s="12">
        <v>0.19129870632034332</v>
      </c>
      <c r="N37" s="12">
        <v>0.15386916911975407</v>
      </c>
      <c r="O37" s="12">
        <v>0.22872824352093257</v>
      </c>
      <c r="P37" s="12">
        <v>0.0</v>
      </c>
    </row>
    <row r="38" ht="15.75" customHeight="1">
      <c r="A38" s="12" t="s">
        <v>79</v>
      </c>
      <c r="B38" s="12" t="s">
        <v>97</v>
      </c>
      <c r="C38" s="12" t="s">
        <v>234</v>
      </c>
      <c r="D38" s="12" t="s">
        <v>53</v>
      </c>
      <c r="E38" s="12" t="s">
        <v>402</v>
      </c>
      <c r="F38" s="12" t="s">
        <v>75</v>
      </c>
      <c r="G38" s="12" t="s">
        <v>376</v>
      </c>
      <c r="H38" s="12" t="s">
        <v>67</v>
      </c>
      <c r="I38" s="12">
        <v>-1.400036955440509</v>
      </c>
      <c r="J38" s="12">
        <v>16.213400817849124</v>
      </c>
      <c r="K38" s="12">
        <v>-17.613437773289633</v>
      </c>
      <c r="L38" s="12">
        <v>14.813363862408615</v>
      </c>
      <c r="M38" s="12">
        <v>-1.400036955440509</v>
      </c>
      <c r="N38" s="12">
        <v>-17.613437773289633</v>
      </c>
      <c r="O38" s="12">
        <v>14.813363862408615</v>
      </c>
      <c r="P38" s="12">
        <v>0.0</v>
      </c>
    </row>
    <row r="39" ht="15.75" customHeight="1">
      <c r="A39" s="12" t="s">
        <v>79</v>
      </c>
      <c r="B39" s="12" t="s">
        <v>97</v>
      </c>
      <c r="C39" s="12" t="s">
        <v>234</v>
      </c>
      <c r="D39" s="12" t="s">
        <v>53</v>
      </c>
      <c r="E39" s="12" t="s">
        <v>402</v>
      </c>
      <c r="F39" s="12" t="s">
        <v>75</v>
      </c>
      <c r="G39" s="12" t="s">
        <v>378</v>
      </c>
      <c r="H39" s="12" t="s">
        <v>67</v>
      </c>
      <c r="I39" s="12">
        <v>15.93328004486035</v>
      </c>
      <c r="J39" s="12">
        <v>16.21340081785014</v>
      </c>
      <c r="K39" s="12">
        <v>-0.28012077298978966</v>
      </c>
      <c r="L39" s="12">
        <v>32.14668086271049</v>
      </c>
      <c r="M39" s="12">
        <v>15.93328004486035</v>
      </c>
      <c r="N39" s="12">
        <v>-0.28012077298978966</v>
      </c>
      <c r="O39" s="12">
        <v>32.14668086271049</v>
      </c>
      <c r="P39" s="12">
        <v>0.0</v>
      </c>
    </row>
    <row r="40" ht="15.75" customHeight="1">
      <c r="A40" s="12" t="s">
        <v>79</v>
      </c>
      <c r="B40" s="12" t="s">
        <v>97</v>
      </c>
      <c r="C40" s="12" t="s">
        <v>234</v>
      </c>
      <c r="D40" s="12" t="s">
        <v>53</v>
      </c>
      <c r="E40" s="12" t="s">
        <v>402</v>
      </c>
      <c r="F40" s="12" t="s">
        <v>75</v>
      </c>
      <c r="G40" s="12" t="s">
        <v>376</v>
      </c>
      <c r="H40" s="12" t="s">
        <v>138</v>
      </c>
      <c r="I40" s="12">
        <v>14.866632335992326</v>
      </c>
      <c r="J40" s="12">
        <v>16.213400817845525</v>
      </c>
      <c r="K40" s="12">
        <v>-1.3467684818531982</v>
      </c>
      <c r="L40" s="12">
        <v>31.080033153837853</v>
      </c>
      <c r="M40" s="12">
        <v>14.866632335992326</v>
      </c>
      <c r="N40" s="12">
        <v>-1.3467684818531982</v>
      </c>
      <c r="O40" s="12">
        <v>31.080033153837853</v>
      </c>
      <c r="P40" s="12">
        <v>0.0</v>
      </c>
    </row>
    <row r="41" ht="15.75" customHeight="1">
      <c r="A41" s="12" t="s">
        <v>79</v>
      </c>
      <c r="B41" s="12" t="s">
        <v>97</v>
      </c>
      <c r="C41" s="12" t="s">
        <v>234</v>
      </c>
      <c r="D41" s="12" t="s">
        <v>53</v>
      </c>
      <c r="E41" s="12" t="s">
        <v>402</v>
      </c>
      <c r="F41" s="12" t="s">
        <v>75</v>
      </c>
      <c r="G41" s="12" t="s">
        <v>378</v>
      </c>
      <c r="H41" s="12" t="s">
        <v>138</v>
      </c>
      <c r="I41" s="12">
        <v>-20.733392538287454</v>
      </c>
      <c r="J41" s="12">
        <v>16.21340081785347</v>
      </c>
      <c r="K41" s="12">
        <v>-36.94679335614092</v>
      </c>
      <c r="L41" s="12">
        <v>-4.5199917204339854</v>
      </c>
      <c r="M41" s="12">
        <v>-20.733392538287454</v>
      </c>
      <c r="N41" s="12">
        <v>-36.94679335614092</v>
      </c>
      <c r="O41" s="12">
        <v>-4.5199917204339854</v>
      </c>
      <c r="P41" s="12">
        <v>0.0</v>
      </c>
    </row>
    <row r="42" ht="15.75" customHeight="1">
      <c r="A42" s="12" t="s">
        <v>79</v>
      </c>
      <c r="B42" s="12" t="s">
        <v>97</v>
      </c>
      <c r="C42" s="12" t="s">
        <v>234</v>
      </c>
      <c r="D42" s="12" t="s">
        <v>53</v>
      </c>
      <c r="E42" s="12" t="s">
        <v>402</v>
      </c>
      <c r="F42" s="12" t="s">
        <v>75</v>
      </c>
      <c r="G42" s="12" t="s">
        <v>376</v>
      </c>
      <c r="H42" s="12" t="s">
        <v>358</v>
      </c>
      <c r="I42" s="12">
        <v>-60.00004641105311</v>
      </c>
      <c r="J42" s="12">
        <v>16.21340081787125</v>
      </c>
      <c r="K42" s="12">
        <v>-76.21344722892437</v>
      </c>
      <c r="L42" s="12">
        <v>-43.78664559318186</v>
      </c>
      <c r="M42" s="12">
        <v>-60.00004641105311</v>
      </c>
      <c r="N42" s="12">
        <v>-76.21344722892437</v>
      </c>
      <c r="O42" s="12">
        <v>-43.78664559318186</v>
      </c>
      <c r="P42" s="12">
        <v>0.0</v>
      </c>
    </row>
    <row r="43" ht="15.75" customHeight="1">
      <c r="A43" s="12" t="s">
        <v>79</v>
      </c>
      <c r="B43" s="12" t="s">
        <v>97</v>
      </c>
      <c r="C43" s="12" t="s">
        <v>234</v>
      </c>
      <c r="D43" s="12" t="s">
        <v>53</v>
      </c>
      <c r="E43" s="12" t="s">
        <v>402</v>
      </c>
      <c r="F43" s="12" t="s">
        <v>75</v>
      </c>
      <c r="G43" s="12" t="s">
        <v>378</v>
      </c>
      <c r="H43" s="12" t="s">
        <v>358</v>
      </c>
      <c r="I43" s="12">
        <v>-147.53341299855492</v>
      </c>
      <c r="J43" s="12">
        <v>16.213400817875094</v>
      </c>
      <c r="K43" s="12">
        <v>-163.74681381643</v>
      </c>
      <c r="L43" s="12">
        <v>-131.32001218067984</v>
      </c>
      <c r="M43" s="12">
        <v>-147.53341299855492</v>
      </c>
      <c r="N43" s="12">
        <v>-163.74681381643</v>
      </c>
      <c r="O43" s="12">
        <v>-131.32001218067984</v>
      </c>
      <c r="P43" s="12">
        <v>0.0</v>
      </c>
    </row>
    <row r="44" ht="15.75" customHeight="1">
      <c r="A44" s="12" t="s">
        <v>79</v>
      </c>
      <c r="B44" s="12" t="s">
        <v>97</v>
      </c>
      <c r="C44" s="12" t="s">
        <v>234</v>
      </c>
      <c r="D44" s="12" t="s">
        <v>53</v>
      </c>
      <c r="E44" s="12" t="s">
        <v>402</v>
      </c>
      <c r="F44" s="12" t="s">
        <v>75</v>
      </c>
      <c r="G44" s="12" t="s">
        <v>376</v>
      </c>
      <c r="H44" s="12" t="s">
        <v>368</v>
      </c>
      <c r="I44" s="12">
        <v>-102.2333240142573</v>
      </c>
      <c r="J44" s="12">
        <v>16.213400817841908</v>
      </c>
      <c r="K44" s="12">
        <v>-118.44672483209922</v>
      </c>
      <c r="L44" s="12">
        <v>-86.01992319641539</v>
      </c>
      <c r="M44" s="12">
        <v>-102.2333240142573</v>
      </c>
      <c r="N44" s="12">
        <v>-118.44672483209922</v>
      </c>
      <c r="O44" s="12">
        <v>-86.01992319641539</v>
      </c>
      <c r="P44" s="12">
        <v>0.0</v>
      </c>
    </row>
    <row r="45" ht="15.75" customHeight="1">
      <c r="A45" s="12" t="s">
        <v>79</v>
      </c>
      <c r="B45" s="12" t="s">
        <v>97</v>
      </c>
      <c r="C45" s="12" t="s">
        <v>234</v>
      </c>
      <c r="D45" s="12" t="s">
        <v>53</v>
      </c>
      <c r="E45" s="12" t="s">
        <v>402</v>
      </c>
      <c r="F45" s="12" t="s">
        <v>75</v>
      </c>
      <c r="G45" s="12" t="s">
        <v>378</v>
      </c>
      <c r="H45" s="12" t="s">
        <v>368</v>
      </c>
      <c r="I45" s="12">
        <v>-139.30000945732544</v>
      </c>
      <c r="J45" s="12">
        <v>16.213400817829324</v>
      </c>
      <c r="K45" s="12">
        <v>-155.51341027515477</v>
      </c>
      <c r="L45" s="12">
        <v>-123.08660863949612</v>
      </c>
      <c r="M45" s="12">
        <v>-139.30000945732544</v>
      </c>
      <c r="N45" s="12">
        <v>-155.51341027515477</v>
      </c>
      <c r="O45" s="12">
        <v>-123.08660863949612</v>
      </c>
      <c r="P45" s="12">
        <v>0.0</v>
      </c>
    </row>
    <row r="46" ht="15.75" customHeight="1">
      <c r="A46" s="12" t="s">
        <v>79</v>
      </c>
      <c r="B46" s="12" t="s">
        <v>49</v>
      </c>
      <c r="C46" s="12" t="s">
        <v>3</v>
      </c>
      <c r="D46" s="12" t="s">
        <v>53</v>
      </c>
      <c r="E46" s="12" t="s">
        <v>413</v>
      </c>
      <c r="F46" s="12" t="s">
        <v>55</v>
      </c>
      <c r="G46" s="12" t="s">
        <v>376</v>
      </c>
      <c r="H46" s="12" t="s">
        <v>67</v>
      </c>
      <c r="I46" s="12">
        <v>1.027443589639182</v>
      </c>
      <c r="J46" s="12">
        <v>0.134737880706099</v>
      </c>
      <c r="K46" s="12">
        <v>0.892705708933083</v>
      </c>
      <c r="L46" s="12">
        <v>1.162181470345281</v>
      </c>
      <c r="M46" s="12">
        <v>1.027443589639182</v>
      </c>
      <c r="N46" s="12">
        <v>0.892705708933083</v>
      </c>
      <c r="O46" s="12">
        <v>1.162181470345281</v>
      </c>
      <c r="P46" s="12">
        <v>0.0</v>
      </c>
    </row>
    <row r="47" ht="15.75" customHeight="1">
      <c r="A47" s="12" t="s">
        <v>79</v>
      </c>
      <c r="B47" s="12" t="s">
        <v>49</v>
      </c>
      <c r="C47" s="12" t="s">
        <v>3</v>
      </c>
      <c r="D47" s="12" t="s">
        <v>53</v>
      </c>
      <c r="E47" s="12" t="s">
        <v>413</v>
      </c>
      <c r="F47" s="12" t="s">
        <v>55</v>
      </c>
      <c r="G47" s="12" t="s">
        <v>378</v>
      </c>
      <c r="H47" s="12" t="s">
        <v>67</v>
      </c>
      <c r="I47" s="12">
        <v>1.1737385009467214</v>
      </c>
      <c r="J47" s="12">
        <v>0.15372279697552038</v>
      </c>
      <c r="K47" s="12">
        <v>1.020015703971201</v>
      </c>
      <c r="L47" s="12">
        <v>1.3274612979222418</v>
      </c>
      <c r="M47" s="12">
        <v>1.1737385009467214</v>
      </c>
      <c r="N47" s="12">
        <v>1.020015703971201</v>
      </c>
      <c r="O47" s="12">
        <v>1.3274612979222418</v>
      </c>
      <c r="P47" s="12">
        <v>0.0</v>
      </c>
    </row>
    <row r="48" ht="15.75" customHeight="1">
      <c r="A48" s="12" t="s">
        <v>79</v>
      </c>
      <c r="B48" s="12" t="s">
        <v>49</v>
      </c>
      <c r="C48" s="12" t="s">
        <v>3</v>
      </c>
      <c r="D48" s="12" t="s">
        <v>53</v>
      </c>
      <c r="E48" s="12" t="s">
        <v>413</v>
      </c>
      <c r="F48" s="12" t="s">
        <v>55</v>
      </c>
      <c r="G48" s="12" t="s">
        <v>376</v>
      </c>
      <c r="H48" s="12" t="s">
        <v>138</v>
      </c>
      <c r="I48" s="12">
        <v>0.5188015685679064</v>
      </c>
      <c r="J48" s="12">
        <v>0.06825533544110517</v>
      </c>
      <c r="K48" s="12">
        <v>0.4505462331268012</v>
      </c>
      <c r="L48" s="12">
        <v>0.5870569040090116</v>
      </c>
      <c r="M48" s="12">
        <v>0.5188015685679064</v>
      </c>
      <c r="N48" s="12">
        <v>0.4505462331268012</v>
      </c>
      <c r="O48" s="12">
        <v>0.5870569040090116</v>
      </c>
      <c r="P48" s="12">
        <v>0.0</v>
      </c>
    </row>
    <row r="49" ht="15.75" customHeight="1">
      <c r="A49" s="12" t="s">
        <v>79</v>
      </c>
      <c r="B49" s="12" t="s">
        <v>49</v>
      </c>
      <c r="C49" s="12" t="s">
        <v>3</v>
      </c>
      <c r="D49" s="12" t="s">
        <v>53</v>
      </c>
      <c r="E49" s="12" t="s">
        <v>413</v>
      </c>
      <c r="F49" s="12" t="s">
        <v>55</v>
      </c>
      <c r="G49" s="12" t="s">
        <v>378</v>
      </c>
      <c r="H49" s="12" t="s">
        <v>138</v>
      </c>
      <c r="I49" s="12">
        <v>0.3078816540621925</v>
      </c>
      <c r="J49" s="12">
        <v>0.04054306678571031</v>
      </c>
      <c r="K49" s="12">
        <v>0.2673385872764822</v>
      </c>
      <c r="L49" s="12">
        <v>0.34842472084790277</v>
      </c>
      <c r="M49" s="12">
        <v>0.3078816540621925</v>
      </c>
      <c r="N49" s="12">
        <v>0.2673385872764822</v>
      </c>
      <c r="O49" s="12">
        <v>0.34842472084790277</v>
      </c>
      <c r="P49" s="12">
        <v>0.0</v>
      </c>
    </row>
    <row r="50" ht="15.75" customHeight="1">
      <c r="A50" s="12" t="s">
        <v>79</v>
      </c>
      <c r="B50" s="12" t="s">
        <v>49</v>
      </c>
      <c r="C50" s="12" t="s">
        <v>3</v>
      </c>
      <c r="D50" s="12" t="s">
        <v>53</v>
      </c>
      <c r="E50" s="12" t="s">
        <v>413</v>
      </c>
      <c r="F50" s="12" t="s">
        <v>55</v>
      </c>
      <c r="G50" s="12" t="s">
        <v>376</v>
      </c>
      <c r="H50" s="12" t="s">
        <v>358</v>
      </c>
      <c r="I50" s="12">
        <v>0.22059541496930618</v>
      </c>
      <c r="J50" s="12">
        <v>0.02894184130851824</v>
      </c>
      <c r="K50" s="12">
        <v>0.19165357366078795</v>
      </c>
      <c r="L50" s="12">
        <v>0.24953725627782442</v>
      </c>
      <c r="M50" s="12">
        <v>0.22059541496930618</v>
      </c>
      <c r="N50" s="12">
        <v>0.19165357366078795</v>
      </c>
      <c r="O50" s="12">
        <v>0.24953725627782442</v>
      </c>
      <c r="P50" s="12">
        <v>0.0</v>
      </c>
    </row>
    <row r="51" ht="15.75" customHeight="1">
      <c r="A51" s="12" t="s">
        <v>79</v>
      </c>
      <c r="B51" s="12" t="s">
        <v>49</v>
      </c>
      <c r="C51" s="12" t="s">
        <v>3</v>
      </c>
      <c r="D51" s="12" t="s">
        <v>53</v>
      </c>
      <c r="E51" s="12" t="s">
        <v>413</v>
      </c>
      <c r="F51" s="12" t="s">
        <v>55</v>
      </c>
      <c r="G51" s="12" t="s">
        <v>378</v>
      </c>
      <c r="H51" s="12" t="s">
        <v>358</v>
      </c>
      <c r="I51" s="12">
        <v>0.1402554618478979</v>
      </c>
      <c r="J51" s="12">
        <v>0.018377771244139692</v>
      </c>
      <c r="K51" s="12">
        <v>0.1218776906037582</v>
      </c>
      <c r="L51" s="12">
        <v>0.15863323309203758</v>
      </c>
      <c r="M51" s="12">
        <v>0.1402554618478979</v>
      </c>
      <c r="N51" s="12">
        <v>0.1218776906037582</v>
      </c>
      <c r="O51" s="12">
        <v>0.15863323309203758</v>
      </c>
      <c r="P51" s="12">
        <v>0.0</v>
      </c>
    </row>
    <row r="52" ht="15.75" customHeight="1">
      <c r="A52" s="12" t="s">
        <v>79</v>
      </c>
      <c r="B52" s="12" t="s">
        <v>49</v>
      </c>
      <c r="C52" s="12" t="s">
        <v>3</v>
      </c>
      <c r="D52" s="12" t="s">
        <v>53</v>
      </c>
      <c r="E52" s="12" t="s">
        <v>413</v>
      </c>
      <c r="F52" s="12" t="s">
        <v>55</v>
      </c>
      <c r="G52" s="12" t="s">
        <v>376</v>
      </c>
      <c r="H52" s="12" t="s">
        <v>368</v>
      </c>
      <c r="I52" s="12">
        <v>0.21087741558493772</v>
      </c>
      <c r="J52" s="12">
        <v>0.027732694469740787</v>
      </c>
      <c r="K52" s="12">
        <v>0.18314472111519695</v>
      </c>
      <c r="L52" s="12">
        <v>0.2386101100546785</v>
      </c>
      <c r="M52" s="12">
        <v>0.21087741558493772</v>
      </c>
      <c r="N52" s="12">
        <v>0.18314472111519695</v>
      </c>
      <c r="O52" s="12">
        <v>0.2386101100546785</v>
      </c>
      <c r="P52" s="12">
        <v>0.0</v>
      </c>
    </row>
    <row r="53" ht="15.75" customHeight="1">
      <c r="A53" s="12" t="s">
        <v>79</v>
      </c>
      <c r="B53" s="12" t="s">
        <v>49</v>
      </c>
      <c r="C53" s="12" t="s">
        <v>3</v>
      </c>
      <c r="D53" s="12" t="s">
        <v>53</v>
      </c>
      <c r="E53" s="12" t="s">
        <v>413</v>
      </c>
      <c r="F53" s="12" t="s">
        <v>55</v>
      </c>
      <c r="G53" s="12" t="s">
        <v>378</v>
      </c>
      <c r="H53" s="12" t="s">
        <v>368</v>
      </c>
      <c r="I53" s="12">
        <v>0.13365805876515993</v>
      </c>
      <c r="J53" s="12">
        <v>0.01752148446773578</v>
      </c>
      <c r="K53" s="12">
        <v>0.11613657429742415</v>
      </c>
      <c r="L53" s="12">
        <v>0.1511795432328957</v>
      </c>
      <c r="M53" s="12">
        <v>0.13365805876515993</v>
      </c>
      <c r="N53" s="12">
        <v>0.11613657429742415</v>
      </c>
      <c r="O53" s="12">
        <v>0.1511795432328957</v>
      </c>
      <c r="P53" s="12">
        <v>0.0</v>
      </c>
    </row>
    <row r="54" ht="15.75" customHeight="1">
      <c r="A54" s="12" t="s">
        <v>128</v>
      </c>
      <c r="B54" s="12" t="inlineStr">
        <is>
          <t>del14c</t>
        </is>
      </c>
      <c r="C54" s="12" t="inlineStr">
        <is>
          <t>Delta^14 * C</t>
        </is>
      </c>
      <c r="D54" s="12" t="s">
        <v>53</v>
      </c>
      <c r="E54" s="12" t="inlineStr">
        <is>
          <t>Figure 4d</t>
        </is>
      </c>
      <c r="F54" s="12" t="inlineStr">
        <is>
          <t>Gaussian(identity)</t>
        </is>
      </c>
      <c r="G54" s="12" t="s">
        <v>420</v>
      </c>
      <c r="H54" s="12" t="inlineStr">
        <is>
          <t>0-10</t>
        </is>
      </c>
      <c r="I54" s="12">
        <v>-31.063948884321977</v>
      </c>
      <c r="J54" s="12">
        <v>25.70177400378851</v>
      </c>
      <c r="K54" s="12">
        <v>-56.76572288811049</v>
      </c>
      <c r="L54" s="12">
        <v>-5.362174880533466</v>
      </c>
      <c r="M54" s="12">
        <v>-31.063948884321977</v>
      </c>
      <c r="N54" s="12">
        <v>-56.76572288811049</v>
      </c>
      <c r="O54" s="12">
        <v>-5.362174880533466</v>
      </c>
      <c r="P54" s="12">
        <v>0.0</v>
      </c>
    </row>
    <row r="55" ht="15.75" customHeight="1">
      <c r="A55" s="12" t="s">
        <v>128</v>
      </c>
      <c r="B55" s="12" t="inlineStr">
        <is>
          <t>del14c</t>
        </is>
      </c>
      <c r="C55" s="12" t="inlineStr">
        <is>
          <t>Delta^14 * C</t>
        </is>
      </c>
      <c r="D55" s="12" t="s">
        <v>53</v>
      </c>
      <c r="E55" s="12" t="inlineStr">
        <is>
          <t>Figure 4d</t>
        </is>
      </c>
      <c r="F55" s="12" t="inlineStr">
        <is>
          <t>Gaussian(identity)</t>
        </is>
      </c>
      <c r="G55" s="12" t="s">
        <v>421</v>
      </c>
      <c r="H55" s="12" t="inlineStr">
        <is>
          <t>0-10</t>
        </is>
      </c>
      <c r="I55" s="12">
        <v>-8.833352257945744</v>
      </c>
      <c r="J55" s="12">
        <v>25.701774003774588</v>
      </c>
      <c r="K55" s="12">
        <v>-34.535126261720336</v>
      </c>
      <c r="L55" s="12">
        <v>16.868421745828844</v>
      </c>
      <c r="M55" s="12">
        <v>-8.833352257945744</v>
      </c>
      <c r="N55" s="12">
        <v>-34.535126261720336</v>
      </c>
      <c r="O55" s="12">
        <v>16.868421745828844</v>
      </c>
      <c r="P55" s="12">
        <v>0.0</v>
      </c>
    </row>
    <row r="56" ht="15.75" customHeight="1">
      <c r="A56" s="12" t="s">
        <v>128</v>
      </c>
      <c r="B56" s="12" t="inlineStr">
        <is>
          <t>del14c</t>
        </is>
      </c>
      <c r="C56" s="12" t="inlineStr">
        <is>
          <t>Delta^14 * C</t>
        </is>
      </c>
      <c r="D56" s="12" t="s">
        <v>53</v>
      </c>
      <c r="E56" s="12" t="inlineStr">
        <is>
          <t>Figure 4d</t>
        </is>
      </c>
      <c r="F56" s="12" t="inlineStr">
        <is>
          <t>Gaussian(identity)</t>
        </is>
      </c>
      <c r="G56" s="12" t="s">
        <v>426</v>
      </c>
      <c r="H56" s="12" t="inlineStr">
        <is>
          <t>0-10</t>
        </is>
      </c>
      <c r="I56" s="12">
        <v>-109.59695625704396</v>
      </c>
      <c r="J56" s="12">
        <v>25.70177400373898</v>
      </c>
      <c r="K56" s="12">
        <v>-135.29873026078295</v>
      </c>
      <c r="L56" s="12">
        <v>-83.89518225330498</v>
      </c>
      <c r="M56" s="12">
        <v>-109.59695625704396</v>
      </c>
      <c r="N56" s="12">
        <v>-135.29873026078295</v>
      </c>
      <c r="O56" s="12">
        <v>-83.89518225330498</v>
      </c>
      <c r="P56" s="12">
        <v>0.0</v>
      </c>
    </row>
    <row r="57" ht="15.75" customHeight="1">
      <c r="A57" s="12" t="s">
        <v>128</v>
      </c>
      <c r="B57" s="12" t="s">
        <v>97</v>
      </c>
      <c r="C57" s="12" t="inlineStr">
        <is>
          <t>Delta^14 * C</t>
        </is>
      </c>
      <c r="D57" s="12" t="s">
        <v>53</v>
      </c>
      <c r="E57" s="12" t="s">
        <v>449</v>
      </c>
      <c r="F57" s="12" t="s">
        <v>75</v>
      </c>
      <c r="G57" s="12" t="s">
        <v>420</v>
      </c>
      <c r="H57" s="12" t="inlineStr">
        <is>
          <t>10-20</t>
        </is>
      </c>
      <c r="I57" s="12">
        <v>-96.14982291342663</v>
      </c>
      <c r="J57" s="12">
        <v>25.701774003800185</v>
      </c>
      <c r="K57" s="12">
        <v>-121.85159691722681</v>
      </c>
      <c r="L57" s="12">
        <v>-70.44804890962645</v>
      </c>
      <c r="M57" s="12">
        <v>-96.14982291342663</v>
      </c>
      <c r="N57" s="12">
        <v>-121.85159691722681</v>
      </c>
      <c r="O57" s="12">
        <v>-70.44804890962645</v>
      </c>
      <c r="P57" s="12">
        <v>0.0</v>
      </c>
    </row>
    <row r="58" ht="15.75" customHeight="1">
      <c r="A58" s="12" t="s">
        <v>128</v>
      </c>
      <c r="B58" s="12" t="s">
        <v>97</v>
      </c>
      <c r="C58" s="12" t="inlineStr">
        <is>
          <t>Delta^14 * C</t>
        </is>
      </c>
      <c r="D58" s="12" t="s">
        <v>53</v>
      </c>
      <c r="E58" s="12" t="s">
        <v>449</v>
      </c>
      <c r="F58" s="12" t="s">
        <v>75</v>
      </c>
      <c r="G58" s="12" t="s">
        <v>421</v>
      </c>
      <c r="H58" s="12" t="inlineStr">
        <is>
          <t>10-20</t>
        </is>
      </c>
      <c r="I58" s="12">
        <v>-85.0333512187496</v>
      </c>
      <c r="J58" s="12">
        <v>25.701774003782486</v>
      </c>
      <c r="K58" s="12">
        <v>-110.73512522253209</v>
      </c>
      <c r="L58" s="12">
        <v>-59.33157721496711</v>
      </c>
      <c r="M58" s="12">
        <v>-85.0333512187496</v>
      </c>
      <c r="N58" s="12">
        <v>-110.73512522253209</v>
      </c>
      <c r="O58" s="12">
        <v>-59.33157721496711</v>
      </c>
      <c r="P58" s="12">
        <v>0.0</v>
      </c>
    </row>
    <row r="59" ht="15.75" customHeight="1">
      <c r="A59" s="12" t="s">
        <v>128</v>
      </c>
      <c r="B59" s="12" t="s">
        <v>97</v>
      </c>
      <c r="C59" s="12" t="inlineStr">
        <is>
          <t>Delta^14 * C</t>
        </is>
      </c>
      <c r="D59" s="12" t="s">
        <v>53</v>
      </c>
      <c r="E59" s="12" t="s">
        <v>449</v>
      </c>
      <c r="F59" s="12" t="s">
        <v>75</v>
      </c>
      <c r="G59" s="12" t="s">
        <v>426</v>
      </c>
      <c r="H59" s="12" t="inlineStr">
        <is>
          <t>10-20</t>
        </is>
      </c>
      <c r="I59" s="12">
        <v>-107.29823830332147</v>
      </c>
      <c r="J59" s="12">
        <v>25.70177400381642</v>
      </c>
      <c r="K59" s="12">
        <v>-133.0000123071379</v>
      </c>
      <c r="L59" s="12">
        <v>-81.59646429950504</v>
      </c>
      <c r="M59" s="12">
        <v>-107.29823830332147</v>
      </c>
      <c r="N59" s="12">
        <v>-133.0000123071379</v>
      </c>
      <c r="O59" s="12">
        <v>-81.59646429950504</v>
      </c>
      <c r="P59" s="12">
        <v>0.0</v>
      </c>
    </row>
    <row r="60" ht="15.75" customHeight="1">
      <c r="A60" s="12" t="s">
        <v>128</v>
      </c>
      <c r="B60" s="12" t="s">
        <v>97</v>
      </c>
      <c r="C60" s="12" t="inlineStr">
        <is>
          <t>Delta^14 * C</t>
        </is>
      </c>
      <c r="D60" s="12" t="s">
        <v>53</v>
      </c>
      <c r="E60" s="12" t="s">
        <v>449</v>
      </c>
      <c r="F60" s="12" t="s">
        <v>75</v>
      </c>
      <c r="G60" s="12" t="s">
        <v>420</v>
      </c>
      <c r="H60" s="12" t="inlineStr">
        <is>
          <t>20-50</t>
        </is>
      </c>
      <c r="I60" s="12">
        <v>-167.56664550805777</v>
      </c>
      <c r="J60" s="12">
        <v>25.701774003811803</v>
      </c>
      <c r="K60" s="12">
        <v>-193.26841951186958</v>
      </c>
      <c r="L60" s="12">
        <v>-141.86487150424597</v>
      </c>
      <c r="M60" s="12">
        <v>-167.56664550805777</v>
      </c>
      <c r="N60" s="12">
        <v>-193.26841951186958</v>
      </c>
      <c r="O60" s="12">
        <v>-141.86487150424597</v>
      </c>
      <c r="P60" s="12">
        <v>0.0</v>
      </c>
    </row>
    <row r="61" ht="15.75" customHeight="1">
      <c r="A61" s="12" t="s">
        <v>128</v>
      </c>
      <c r="B61" s="12" t="s">
        <v>97</v>
      </c>
      <c r="C61" s="12" t="inlineStr">
        <is>
          <t>Delta^14 * C</t>
        </is>
      </c>
      <c r="D61" s="12" t="s">
        <v>53</v>
      </c>
      <c r="E61" s="12" t="s">
        <v>449</v>
      </c>
      <c r="F61" s="12" t="s">
        <v>75</v>
      </c>
      <c r="G61" s="12" t="s">
        <v>421</v>
      </c>
      <c r="H61" s="12" t="inlineStr">
        <is>
          <t>20-50</t>
        </is>
      </c>
      <c r="I61" s="12">
        <v>-239.2333491158103</v>
      </c>
      <c r="J61" s="12">
        <v>25.701774003704703</v>
      </c>
      <c r="K61" s="12">
        <v>-264.935123119515</v>
      </c>
      <c r="L61" s="12">
        <v>-213.5315751121056</v>
      </c>
      <c r="M61" s="12">
        <v>-239.2333491158103</v>
      </c>
      <c r="N61" s="12">
        <v>-264.935123119515</v>
      </c>
      <c r="O61" s="12">
        <v>-213.5315751121056</v>
      </c>
      <c r="P61" s="12">
        <v>0.0</v>
      </c>
    </row>
    <row r="62" ht="15.75" customHeight="1">
      <c r="A62" s="12" t="s">
        <v>128</v>
      </c>
      <c r="B62" s="12" t="s">
        <v>97</v>
      </c>
      <c r="C62" s="12" t="inlineStr">
        <is>
          <t>Delta^14 * C</t>
        </is>
      </c>
      <c r="D62" s="12" t="s">
        <v>53</v>
      </c>
      <c r="E62" s="12" t="s">
        <v>449</v>
      </c>
      <c r="F62" s="12" t="s">
        <v>75</v>
      </c>
      <c r="G62" s="12" t="s">
        <v>426</v>
      </c>
      <c r="H62" s="12" t="inlineStr">
        <is>
          <t>20-50</t>
        </is>
      </c>
      <c r="I62" s="12">
        <v>-188.53012223779677</v>
      </c>
      <c r="J62" s="12">
        <v>25.701774003831336</v>
      </c>
      <c r="K62" s="12">
        <v>-214.2318962416281</v>
      </c>
      <c r="L62" s="12">
        <v>-162.82834823396544</v>
      </c>
      <c r="M62" s="12">
        <v>-188.53012223779677</v>
      </c>
      <c r="N62" s="12">
        <v>-214.2318962416281</v>
      </c>
      <c r="O62" s="12">
        <v>-162.82834823396544</v>
      </c>
      <c r="P62" s="12">
        <v>0.0</v>
      </c>
    </row>
    <row r="63" ht="15.75" customHeight="1">
      <c r="A63" s="12" t="s">
        <v>128</v>
      </c>
      <c r="B63" s="12" t="s">
        <v>97</v>
      </c>
      <c r="C63" s="12" t="inlineStr">
        <is>
          <t>Delta^14 * C</t>
        </is>
      </c>
      <c r="D63" s="12" t="s">
        <v>53</v>
      </c>
      <c r="E63" s="12" t="s">
        <v>449</v>
      </c>
      <c r="F63" s="12" t="s">
        <v>75</v>
      </c>
      <c r="G63" s="12" t="s">
        <v>420</v>
      </c>
      <c r="H63" s="12" t="inlineStr">
        <is>
          <t>50-75</t>
        </is>
      </c>
      <c r="I63" s="12">
        <v>-234.3333207427163</v>
      </c>
      <c r="J63" s="12">
        <v>25.701774003718615</v>
      </c>
      <c r="K63" s="12">
        <v>-260.03509474643494</v>
      </c>
      <c r="L63" s="12">
        <v>-208.63154673899768</v>
      </c>
      <c r="M63" s="12">
        <v>-234.3333207427163</v>
      </c>
      <c r="N63" s="12">
        <v>-260.03509474643494</v>
      </c>
      <c r="O63" s="12">
        <v>-208.63154673899768</v>
      </c>
      <c r="P63" s="12">
        <v>0.0</v>
      </c>
    </row>
    <row r="64" ht="15.75" customHeight="1">
      <c r="A64" s="12" t="s">
        <v>128</v>
      </c>
      <c r="B64" s="12" t="s">
        <v>97</v>
      </c>
      <c r="C64" s="12" t="inlineStr">
        <is>
          <t>Delta^14 * C</t>
        </is>
      </c>
      <c r="D64" s="12" t="s">
        <v>53</v>
      </c>
      <c r="E64" s="12" t="s">
        <v>449</v>
      </c>
      <c r="F64" s="12" t="s">
        <v>75</v>
      </c>
      <c r="G64" s="12" t="s">
        <v>421</v>
      </c>
      <c r="H64" s="12" t="inlineStr">
        <is>
          <t>50-75</t>
        </is>
      </c>
      <c r="I64" s="12">
        <v>-328.7333484745388</v>
      </c>
      <c r="J64" s="12">
        <v>25.701774003714306</v>
      </c>
      <c r="K64" s="12">
        <v>-354.4351224782531</v>
      </c>
      <c r="L64" s="12">
        <v>-303.03157447082447</v>
      </c>
      <c r="M64" s="12">
        <v>-328.7333484745388</v>
      </c>
      <c r="N64" s="12">
        <v>-354.4351224782531</v>
      </c>
      <c r="O64" s="12">
        <v>-303.03157447082447</v>
      </c>
      <c r="P64" s="12">
        <v>0.0</v>
      </c>
    </row>
    <row r="65" ht="15.75" customHeight="1">
      <c r="A65" s="12" t="s">
        <v>128</v>
      </c>
      <c r="B65" s="12" t="s">
        <v>97</v>
      </c>
      <c r="C65" s="12" t="inlineStr">
        <is>
          <t>Delta^14 * C</t>
        </is>
      </c>
      <c r="D65" s="12" t="s">
        <v>53</v>
      </c>
      <c r="E65" s="12" t="s">
        <v>449</v>
      </c>
      <c r="F65" s="12" t="s">
        <v>75</v>
      </c>
      <c r="G65" s="12" t="s">
        <v>426</v>
      </c>
      <c r="H65" s="12" t="inlineStr">
        <is>
          <t>50-75</t>
        </is>
      </c>
      <c r="I65" s="12">
        <v>-343.21094792474116</v>
      </c>
      <c r="J65" s="12">
        <v>25.701774003781505</v>
      </c>
      <c r="K65" s="12">
        <v>-368.91272192852267</v>
      </c>
      <c r="L65" s="12">
        <v>-317.50917392095965</v>
      </c>
      <c r="M65" s="12">
        <v>-343.21094792474116</v>
      </c>
      <c r="N65" s="12">
        <v>-368.91272192852267</v>
      </c>
      <c r="O65" s="12">
        <v>-317.50917392095965</v>
      </c>
      <c r="P65" s="12">
        <v>0.0</v>
      </c>
    </row>
    <row r="66" ht="15.75" customHeight="1">
      <c r="A66" s="12" t="s">
        <v>128</v>
      </c>
      <c r="B66" s="12" t="inlineStr">
        <is>
          <t>c_percent</t>
        </is>
      </c>
      <c r="C66" s="12" t="inlineStr">
        <is>
          <t>C concentration</t>
        </is>
      </c>
      <c r="D66" s="12" t="s">
        <v>53</v>
      </c>
      <c r="E66" s="12" t="inlineStr">
        <is>
          <t>Figure 4b</t>
        </is>
      </c>
      <c r="F66" s="12" t="inlineStr">
        <is>
          <t>Gamma(log)</t>
        </is>
      </c>
      <c r="G66" s="12" t="s">
        <v>420</v>
      </c>
      <c r="H66" s="12" t="inlineStr">
        <is>
          <t>0-10</t>
        </is>
      </c>
      <c r="I66" s="12">
        <v>1.9958953907383714</v>
      </c>
      <c r="J66" s="12">
        <v>0.15302827277293754</v>
      </c>
      <c r="K66" s="12">
        <v>1.842867117965434</v>
      </c>
      <c r="L66" s="12">
        <v>2.148923663511309</v>
      </c>
      <c r="M66" s="12">
        <v>1.9958953907383714</v>
      </c>
      <c r="N66" s="12">
        <v>1.842867117965434</v>
      </c>
      <c r="O66" s="12">
        <v>2.148923663511309</v>
      </c>
      <c r="P66" s="12">
        <v>0.0</v>
      </c>
    </row>
    <row r="67" ht="15.75" customHeight="1">
      <c r="A67" s="12" t="s">
        <v>128</v>
      </c>
      <c r="B67" s="12" t="inlineStr">
        <is>
          <t>c_percent</t>
        </is>
      </c>
      <c r="C67" s="12" t="inlineStr">
        <is>
          <t>C concentration</t>
        </is>
      </c>
      <c r="D67" s="12" t="s">
        <v>53</v>
      </c>
      <c r="E67" s="12" t="inlineStr">
        <is>
          <t>Figure 4b</t>
        </is>
      </c>
      <c r="F67" s="12" t="inlineStr">
        <is>
          <t>Gamma(log)</t>
        </is>
      </c>
      <c r="G67" s="12" t="s">
        <v>421</v>
      </c>
      <c r="H67" s="12" t="inlineStr">
        <is>
          <t>0-10</t>
        </is>
      </c>
      <c r="I67" s="12">
        <v>1.9941904218255695</v>
      </c>
      <c r="J67" s="12">
        <v>0.15271358332791668</v>
      </c>
      <c r="K67" s="12">
        <v>1.8414768384976528</v>
      </c>
      <c r="L67" s="12">
        <v>2.1469040051534862</v>
      </c>
      <c r="M67" s="12">
        <v>1.9941904218255695</v>
      </c>
      <c r="N67" s="12">
        <v>1.8414768384976528</v>
      </c>
      <c r="O67" s="12">
        <v>2.1469040051534862</v>
      </c>
      <c r="P67" s="12">
        <v>0.0</v>
      </c>
    </row>
    <row r="68" ht="15.75" customHeight="1">
      <c r="A68" s="12" t="s">
        <v>128</v>
      </c>
      <c r="B68" s="12" t="inlineStr">
        <is>
          <t>c_percent</t>
        </is>
      </c>
      <c r="C68" s="12" t="inlineStr">
        <is>
          <t>C concentration</t>
        </is>
      </c>
      <c r="D68" s="12" t="s">
        <v>53</v>
      </c>
      <c r="E68" s="12" t="inlineStr">
        <is>
          <t>Figure 4b</t>
        </is>
      </c>
      <c r="F68" s="12" t="inlineStr">
        <is>
          <t>Gamma(log)</t>
        </is>
      </c>
      <c r="G68" s="12" t="s">
        <v>426</v>
      </c>
      <c r="H68" s="12" t="inlineStr">
        <is>
          <t>0-10</t>
        </is>
      </c>
      <c r="I68" s="12">
        <v>0.9480531811134536</v>
      </c>
      <c r="J68" s="12">
        <v>0.07254434452186988</v>
      </c>
      <c r="K68" s="12">
        <v>0.8755088365915837</v>
      </c>
      <c r="L68" s="12">
        <v>1.0205975256353235</v>
      </c>
      <c r="M68" s="12">
        <v>0.9480531811134536</v>
      </c>
      <c r="N68" s="12">
        <v>0.8755088365915837</v>
      </c>
      <c r="O68" s="12">
        <v>1.0205975256353235</v>
      </c>
      <c r="P68" s="12">
        <v>0.0</v>
      </c>
    </row>
    <row r="69" ht="15.75" customHeight="1">
      <c r="A69" s="12" t="s">
        <v>128</v>
      </c>
      <c r="B69" s="12" t="inlineStr">
        <is>
          <t>c_percent</t>
        </is>
      </c>
      <c r="C69" s="12" t="inlineStr">
        <is>
          <t>C concentration</t>
        </is>
      </c>
      <c r="D69" s="12" t="s">
        <v>53</v>
      </c>
      <c r="E69" s="12" t="inlineStr">
        <is>
          <t>Figure 4b</t>
        </is>
      </c>
      <c r="F69" s="12" t="inlineStr">
        <is>
          <t>Gamma(log)</t>
        </is>
      </c>
      <c r="G69" s="12" t="s">
        <v>420</v>
      </c>
      <c r="H69" s="12" t="inlineStr">
        <is>
          <t>10-20</t>
        </is>
      </c>
      <c r="I69" s="12">
        <v>0.8809966020091212</v>
      </c>
      <c r="J69" s="12">
        <v>0.06748033138241152</v>
      </c>
      <c r="K69" s="12">
        <v>0.8135162706267097</v>
      </c>
      <c r="L69" s="12">
        <v>0.9484769333915327</v>
      </c>
      <c r="M69" s="12">
        <v>0.8809966020091212</v>
      </c>
      <c r="N69" s="12">
        <v>0.8135162706267097</v>
      </c>
      <c r="O69" s="12">
        <v>0.9484769333915327</v>
      </c>
      <c r="P69" s="12">
        <v>0.0</v>
      </c>
    </row>
    <row r="70" ht="15.75" customHeight="1">
      <c r="A70" s="12" t="s">
        <v>128</v>
      </c>
      <c r="B70" s="12" t="inlineStr">
        <is>
          <t>c_percent</t>
        </is>
      </c>
      <c r="C70" s="12" t="inlineStr">
        <is>
          <t>C concentration</t>
        </is>
      </c>
      <c r="D70" s="12" t="s">
        <v>53</v>
      </c>
      <c r="E70" s="12" t="inlineStr">
        <is>
          <t>Figure 4b</t>
        </is>
      </c>
      <c r="F70" s="12" t="inlineStr">
        <is>
          <t>Gamma(log)</t>
        </is>
      </c>
      <c r="G70" s="12" t="s">
        <v>421</v>
      </c>
      <c r="H70" s="12" t="inlineStr">
        <is>
          <t>10-20</t>
        </is>
      </c>
      <c r="I70" s="12">
        <v>0.9113969589515049</v>
      </c>
      <c r="J70" s="12">
        <v>0.06979505922458097</v>
      </c>
      <c r="K70" s="12">
        <v>0.8416018997269239</v>
      </c>
      <c r="L70" s="12">
        <v>0.9811920181760858</v>
      </c>
      <c r="M70" s="12">
        <v>0.9113969589515049</v>
      </c>
      <c r="N70" s="12">
        <v>0.8416018997269239</v>
      </c>
      <c r="O70" s="12">
        <v>0.9811920181760858</v>
      </c>
      <c r="P70" s="12">
        <v>0.0</v>
      </c>
    </row>
    <row r="71" ht="15.75" customHeight="1">
      <c r="A71" s="12" t="s">
        <v>128</v>
      </c>
      <c r="B71" s="12" t="inlineStr">
        <is>
          <t>c_percent</t>
        </is>
      </c>
      <c r="C71" s="12" t="inlineStr">
        <is>
          <t>C concentration</t>
        </is>
      </c>
      <c r="D71" s="12" t="s">
        <v>53</v>
      </c>
      <c r="E71" s="12" t="inlineStr">
        <is>
          <t>Figure 4b</t>
        </is>
      </c>
      <c r="F71" s="12" t="inlineStr">
        <is>
          <t>Gamma(log)</t>
        </is>
      </c>
      <c r="G71" s="12" t="s">
        <v>426</v>
      </c>
      <c r="H71" s="12" t="inlineStr">
        <is>
          <t>10-20</t>
        </is>
      </c>
      <c r="I71" s="12">
        <v>0.7612465894319173</v>
      </c>
      <c r="J71" s="12">
        <v>0.058256789443252736</v>
      </c>
      <c r="K71" s="12">
        <v>0.7029897999886645</v>
      </c>
      <c r="L71" s="12">
        <v>0.81950337887517</v>
      </c>
      <c r="M71" s="12">
        <v>0.7612465894319173</v>
      </c>
      <c r="N71" s="12">
        <v>0.7029897999886645</v>
      </c>
      <c r="O71" s="12">
        <v>0.81950337887517</v>
      </c>
      <c r="P71" s="12">
        <v>0.0</v>
      </c>
    </row>
    <row r="72" ht="15.75" customHeight="1">
      <c r="A72" s="12" t="s">
        <v>128</v>
      </c>
      <c r="B72" s="12" t="s">
        <v>49</v>
      </c>
      <c r="C72" s="12" t="s">
        <v>3</v>
      </c>
      <c r="D72" s="12" t="s">
        <v>53</v>
      </c>
      <c r="E72" s="12" t="s">
        <v>469</v>
      </c>
      <c r="F72" s="12" t="s">
        <v>55</v>
      </c>
      <c r="G72" s="12" t="s">
        <v>420</v>
      </c>
      <c r="H72" s="12" t="inlineStr">
        <is>
          <t>20-50</t>
        </is>
      </c>
      <c r="I72" s="12">
        <v>0.615069038204297</v>
      </c>
      <c r="J72" s="12">
        <v>0.04705946004307363</v>
      </c>
      <c r="K72" s="12">
        <v>0.5680095781612234</v>
      </c>
      <c r="L72" s="12">
        <v>0.6621284982473706</v>
      </c>
      <c r="M72" s="12">
        <v>0.615069038204297</v>
      </c>
      <c r="N72" s="12">
        <v>0.5680095781612234</v>
      </c>
      <c r="O72" s="12">
        <v>0.6621284982473706</v>
      </c>
      <c r="P72" s="12">
        <v>0.0</v>
      </c>
    </row>
    <row r="73" ht="15.75" customHeight="1">
      <c r="A73" s="12" t="s">
        <v>128</v>
      </c>
      <c r="B73" s="12" t="s">
        <v>49</v>
      </c>
      <c r="C73" s="12" t="s">
        <v>3</v>
      </c>
      <c r="D73" s="12" t="s">
        <v>53</v>
      </c>
      <c r="E73" s="12" t="s">
        <v>469</v>
      </c>
      <c r="F73" s="12" t="s">
        <v>55</v>
      </c>
      <c r="G73" s="12" t="s">
        <v>421</v>
      </c>
      <c r="H73" s="12" t="inlineStr">
        <is>
          <t>20-50</t>
        </is>
      </c>
      <c r="I73" s="12">
        <v>0.501190974952326</v>
      </c>
      <c r="J73" s="12">
        <v>0.03837156876721297</v>
      </c>
      <c r="K73" s="12">
        <v>0.462819406185113</v>
      </c>
      <c r="L73" s="12">
        <v>0.5395625437195389</v>
      </c>
      <c r="M73" s="12">
        <v>0.501190974952326</v>
      </c>
      <c r="N73" s="12">
        <v>0.462819406185113</v>
      </c>
      <c r="O73" s="12">
        <v>0.5395625437195389</v>
      </c>
      <c r="P73" s="12">
        <v>0.0</v>
      </c>
    </row>
    <row r="74" ht="15.75" customHeight="1">
      <c r="A74" s="12" t="s">
        <v>128</v>
      </c>
      <c r="B74" s="12" t="s">
        <v>49</v>
      </c>
      <c r="C74" s="12" t="s">
        <v>3</v>
      </c>
      <c r="D74" s="12" t="s">
        <v>53</v>
      </c>
      <c r="E74" s="12" t="s">
        <v>469</v>
      </c>
      <c r="F74" s="12" t="s">
        <v>55</v>
      </c>
      <c r="G74" s="12" t="s">
        <v>426</v>
      </c>
      <c r="H74" s="12" t="inlineStr">
        <is>
          <t>20-50</t>
        </is>
      </c>
      <c r="I74" s="12">
        <v>0.5766809858774748</v>
      </c>
      <c r="J74" s="12">
        <v>0.044135479326164156</v>
      </c>
      <c r="K74" s="12">
        <v>0.5325455065513107</v>
      </c>
      <c r="L74" s="12">
        <v>0.620816465203639</v>
      </c>
      <c r="M74" s="12">
        <v>0.5766809858774748</v>
      </c>
      <c r="N74" s="12">
        <v>0.5325455065513107</v>
      </c>
      <c r="O74" s="12">
        <v>0.620816465203639</v>
      </c>
      <c r="P74" s="12">
        <v>0.0</v>
      </c>
    </row>
    <row r="75" ht="15.75" customHeight="1">
      <c r="A75" s="12" t="s">
        <v>128</v>
      </c>
      <c r="B75" s="12" t="s">
        <v>49</v>
      </c>
      <c r="C75" s="12" t="s">
        <v>3</v>
      </c>
      <c r="D75" s="12" t="s">
        <v>53</v>
      </c>
      <c r="E75" s="12" t="s">
        <v>469</v>
      </c>
      <c r="F75" s="12" t="s">
        <v>55</v>
      </c>
      <c r="G75" s="12" t="s">
        <v>420</v>
      </c>
      <c r="H75" s="12" t="inlineStr">
        <is>
          <t>50-75</t>
        </is>
      </c>
      <c r="I75" s="12">
        <v>0.5701273245246151</v>
      </c>
      <c r="J75" s="12">
        <v>0.04363244732895947</v>
      </c>
      <c r="K75" s="12">
        <v>0.5264948771956557</v>
      </c>
      <c r="L75" s="12">
        <v>0.6137597718535746</v>
      </c>
      <c r="M75" s="12">
        <v>0.5701273245246151</v>
      </c>
      <c r="N75" s="12">
        <v>0.5264948771956557</v>
      </c>
      <c r="O75" s="12">
        <v>0.6137597718535746</v>
      </c>
      <c r="P75" s="12">
        <v>0.0</v>
      </c>
    </row>
    <row r="76" ht="15.75" customHeight="1">
      <c r="A76" s="12" t="s">
        <v>128</v>
      </c>
      <c r="B76" s="12" t="s">
        <v>49</v>
      </c>
      <c r="C76" s="12" t="s">
        <v>3</v>
      </c>
      <c r="D76" s="12" t="s">
        <v>53</v>
      </c>
      <c r="E76" s="12" t="s">
        <v>469</v>
      </c>
      <c r="F76" s="12" t="s">
        <v>55</v>
      </c>
      <c r="G76" s="12" t="s">
        <v>421</v>
      </c>
      <c r="H76" s="12" t="inlineStr">
        <is>
          <t>50-75</t>
        </is>
      </c>
      <c r="I76" s="12">
        <v>0.43222239473779483</v>
      </c>
      <c r="J76" s="12">
        <v>0.033116042446503624</v>
      </c>
      <c r="K76" s="12">
        <v>0.3991063522912912</v>
      </c>
      <c r="L76" s="12">
        <v>0.46533843718429846</v>
      </c>
      <c r="M76" s="12">
        <v>0.43222239473779483</v>
      </c>
      <c r="N76" s="12">
        <v>0.3991063522912912</v>
      </c>
      <c r="O76" s="12">
        <v>0.46533843718429846</v>
      </c>
      <c r="P76" s="12">
        <v>0.0</v>
      </c>
    </row>
    <row r="77" ht="15.75" customHeight="1">
      <c r="A77" s="12" t="s">
        <v>128</v>
      </c>
      <c r="B77" s="12" t="s">
        <v>49</v>
      </c>
      <c r="C77" s="12" t="s">
        <v>3</v>
      </c>
      <c r="D77" s="12" t="s">
        <v>53</v>
      </c>
      <c r="E77" s="12" t="s">
        <v>469</v>
      </c>
      <c r="F77" s="12" t="s">
        <v>55</v>
      </c>
      <c r="G77" s="12" t="s">
        <v>426</v>
      </c>
      <c r="H77" s="12" t="inlineStr">
        <is>
          <t>50-75</t>
        </is>
      </c>
      <c r="I77" s="12">
        <v>0.4233917231416815</v>
      </c>
      <c r="J77" s="12">
        <v>0.03240016807469464</v>
      </c>
      <c r="K77" s="12">
        <v>0.39099155506698685</v>
      </c>
      <c r="L77" s="12">
        <v>0.45579189121637614</v>
      </c>
      <c r="M77" s="12">
        <v>0.4233917231416815</v>
      </c>
      <c r="N77" s="12">
        <v>0.39099155506698685</v>
      </c>
      <c r="O77" s="12">
        <v>0.45579189121637614</v>
      </c>
      <c r="P77" s="12">
        <v>0.0</v>
      </c>
    </row>
    <row r="78">
      <c r="A78" s="12" t="str">
        <v>annual vegetables</v>
      </c>
      <c r="B78" s="12" t="str">
        <v>cumulative_c_stock</v>
      </c>
      <c r="C78" s="12" t="str">
        <v>Cumulative C stock</v>
      </c>
      <c r="D78" s="12" t="str">
        <v>observed core mean; one sample SE</v>
      </c>
      <c r="E78" s="12" t="str">
        <v>Figure 2c</v>
      </c>
      <c r="F78" s="12" t="str">
        <v>Observed core mean</v>
      </c>
      <c r="G78" s="12" t="str">
        <v>monoculture</v>
      </c>
      <c r="H78" s="12" t="str">
        <v>0-10</v>
      </c>
      <c r="I78" s="12" t="n">
        <v>3.1590786774283597</v>
      </c>
      <c r="J78" s="12" t="n">
        <v>0.18166605439346714</v>
      </c>
      <c r="K78" s="12" t="n">
        <v>2.9774126230348927</v>
      </c>
      <c r="L78" s="12" t="n">
        <v>3.3407447318218266</v>
      </c>
      <c r="M78" s="12" t="n">
        <v>3.1590786774283597</v>
      </c>
      <c r="N78" s="12" t="n">
        <v>2.9774126230348927</v>
      </c>
      <c r="O78" s="12" t="n">
        <v>3.3407447318218266</v>
      </c>
      <c r="P78" s="12" t="n">
        <v>0</v>
      </c>
    </row>
    <row r="79">
      <c r="A79" s="12" t="str">
        <v>annual vegetables</v>
      </c>
      <c r="B79" s="12" t="str">
        <v>cumulative_c_stock</v>
      </c>
      <c r="C79" s="12" t="str">
        <v>Cumulative C stock</v>
      </c>
      <c r="D79" s="12" t="str">
        <v>observed core mean; one sample SE</v>
      </c>
      <c r="E79" s="12" t="str">
        <v>Figure 2c</v>
      </c>
      <c r="F79" s="12" t="str">
        <v>Observed core mean</v>
      </c>
      <c r="G79" s="12" t="str">
        <v>monoculture</v>
      </c>
      <c r="H79" s="12" t="str">
        <v>10-20</v>
      </c>
      <c r="I79" s="12" t="n">
        <v>6.1903399038159685</v>
      </c>
      <c r="J79" s="12" t="n">
        <v>0.3125481445591527</v>
      </c>
      <c r="K79" s="12" t="n">
        <v>5.877791759256816</v>
      </c>
      <c r="L79" s="12" t="n">
        <v>6.502888048375121</v>
      </c>
      <c r="M79" s="12" t="n">
        <v>6.1903399038159685</v>
      </c>
      <c r="N79" s="12" t="n">
        <v>5.877791759256816</v>
      </c>
      <c r="O79" s="12" t="n">
        <v>6.502888048375121</v>
      </c>
      <c r="P79" s="12" t="n">
        <v>0</v>
      </c>
    </row>
    <row r="80">
      <c r="A80" s="12" t="str">
        <v>annual vegetables</v>
      </c>
      <c r="B80" s="12" t="str">
        <v>cumulative_c_stock</v>
      </c>
      <c r="C80" s="12" t="str">
        <v>Cumulative C stock</v>
      </c>
      <c r="D80" s="12" t="str">
        <v>observed core mean; one sample SE</v>
      </c>
      <c r="E80" s="12" t="str">
        <v>Figure 2c</v>
      </c>
      <c r="F80" s="12" t="str">
        <v>Observed core mean</v>
      </c>
      <c r="G80" s="12" t="str">
        <v>monoculture</v>
      </c>
      <c r="H80" s="12" t="str">
        <v>20-30</v>
      </c>
      <c r="I80" s="12" t="n">
        <v>10.013512198941417</v>
      </c>
      <c r="J80" s="12" t="n">
        <v>0.96075634739954</v>
      </c>
      <c r="K80" s="12" t="n">
        <v>9.052755851541876</v>
      </c>
      <c r="L80" s="12" t="n">
        <v>10.974268546340957</v>
      </c>
      <c r="M80" s="12" t="n">
        <v>10.013512198941417</v>
      </c>
      <c r="N80" s="12" t="n">
        <v>9.052755851541876</v>
      </c>
      <c r="O80" s="12" t="n">
        <v>10.974268546340957</v>
      </c>
      <c r="P80" s="12" t="n">
        <v>0</v>
      </c>
    </row>
    <row r="81">
      <c r="A81" s="12" t="str">
        <v>annual vegetables</v>
      </c>
      <c r="B81" s="12" t="str">
        <v>cumulative_c_stock</v>
      </c>
      <c r="C81" s="12" t="str">
        <v>Cumulative C stock</v>
      </c>
      <c r="D81" s="12" t="str">
        <v>observed core mean; one sample SE</v>
      </c>
      <c r="E81" s="12" t="str">
        <v>Figure 2c</v>
      </c>
      <c r="F81" s="12" t="str">
        <v>Observed core mean</v>
      </c>
      <c r="G81" s="12" t="str">
        <v>monoculture</v>
      </c>
      <c r="H81" s="12" t="str">
        <v>30-40</v>
      </c>
      <c r="I81" s="12" t="n">
        <v>12.958996841855932</v>
      </c>
      <c r="J81" s="12" t="n">
        <v>2.0461534630842237</v>
      </c>
      <c r="K81" s="12" t="n">
        <v>10.912843378771708</v>
      </c>
      <c r="L81" s="12" t="n">
        <v>15.005150304940155</v>
      </c>
      <c r="M81" s="12" t="n">
        <v>12.958996841855932</v>
      </c>
      <c r="N81" s="12" t="n">
        <v>10.912843378771708</v>
      </c>
      <c r="O81" s="12" t="n">
        <v>15.005150304940155</v>
      </c>
      <c r="P81" s="12" t="n">
        <v>0</v>
      </c>
    </row>
    <row r="82">
      <c r="A82" s="12" t="str">
        <v>annual vegetables</v>
      </c>
      <c r="B82" s="12" t="str">
        <v>cumulative_c_stock</v>
      </c>
      <c r="C82" s="12" t="str">
        <v>Cumulative C stock</v>
      </c>
      <c r="D82" s="12" t="str">
        <v>observed core mean; one sample SE</v>
      </c>
      <c r="E82" s="12" t="str">
        <v>Figure 2c</v>
      </c>
      <c r="F82" s="12" t="str">
        <v>Observed core mean</v>
      </c>
      <c r="G82" s="12" t="str">
        <v>monoculture</v>
      </c>
      <c r="H82" s="12" t="str">
        <v>40-50</v>
      </c>
      <c r="I82" s="12" t="n">
        <v>14.232232526977604</v>
      </c>
      <c r="J82" s="12" t="n">
        <v>2.4945853114220773</v>
      </c>
      <c r="K82" s="12" t="n">
        <v>11.737647215555526</v>
      </c>
      <c r="L82" s="12" t="n">
        <v>16.726817838399683</v>
      </c>
      <c r="M82" s="12" t="n">
        <v>14.232232526977604</v>
      </c>
      <c r="N82" s="12" t="n">
        <v>11.737647215555526</v>
      </c>
      <c r="O82" s="12" t="n">
        <v>16.726817838399683</v>
      </c>
      <c r="P82" s="12" t="n">
        <v>0</v>
      </c>
    </row>
    <row r="83">
      <c r="A83" s="12" t="str">
        <v>annual vegetables</v>
      </c>
      <c r="B83" s="12" t="str">
        <v>cumulative_c_stock</v>
      </c>
      <c r="C83" s="12" t="str">
        <v>Cumulative C stock</v>
      </c>
      <c r="D83" s="12" t="str">
        <v>observed core mean; one sample SE</v>
      </c>
      <c r="E83" s="12" t="str">
        <v>Figure 2c</v>
      </c>
      <c r="F83" s="12" t="str">
        <v>Observed core mean</v>
      </c>
      <c r="G83" s="12" t="str">
        <v>monoculture</v>
      </c>
      <c r="H83" s="12" t="str">
        <v>50-100</v>
      </c>
      <c r="I83" s="12" t="n">
        <v>20.134781716894697</v>
      </c>
      <c r="J83" s="12" t="n">
        <v>2.003494176407674</v>
      </c>
      <c r="K83" s="12" t="n">
        <v>18.131287540487023</v>
      </c>
      <c r="L83" s="12" t="n">
        <v>22.13827589330237</v>
      </c>
      <c r="M83" s="12" t="n">
        <v>20.134781716894697</v>
      </c>
      <c r="N83" s="12" t="n">
        <v>18.131287540487023</v>
      </c>
      <c r="O83" s="12" t="n">
        <v>22.13827589330237</v>
      </c>
      <c r="P83" s="12" t="n">
        <v>0</v>
      </c>
    </row>
    <row r="84">
      <c r="A84" s="12" t="str">
        <v>annual vegetables</v>
      </c>
      <c r="B84" s="12" t="str">
        <v>cumulative_c_stock</v>
      </c>
      <c r="C84" s="12" t="str">
        <v>Cumulative C stock</v>
      </c>
      <c r="D84" s="12" t="str">
        <v>observed core mean; one sample SE</v>
      </c>
      <c r="E84" s="12" t="str">
        <v>Figure 2c</v>
      </c>
      <c r="F84" s="12" t="str">
        <v>Observed core mean</v>
      </c>
      <c r="G84" s="12" t="str">
        <v>polyculture</v>
      </c>
      <c r="H84" s="12" t="str">
        <v>0-10</v>
      </c>
      <c r="I84" s="12" t="n">
        <v>4.607285704948389</v>
      </c>
      <c r="J84" s="12" t="n">
        <v>0.23192616675973635</v>
      </c>
      <c r="K84" s="12" t="n">
        <v>4.375359538188652</v>
      </c>
      <c r="L84" s="12" t="n">
        <v>4.839211871708125</v>
      </c>
      <c r="M84" s="12" t="n">
        <v>4.607285704948389</v>
      </c>
      <c r="N84" s="12" t="n">
        <v>4.375359538188652</v>
      </c>
      <c r="O84" s="12" t="n">
        <v>4.839211871708125</v>
      </c>
      <c r="P84" s="12" t="n">
        <v>0</v>
      </c>
    </row>
    <row r="85">
      <c r="A85" s="12" t="str">
        <v>annual vegetables</v>
      </c>
      <c r="B85" s="12" t="str">
        <v>cumulative_c_stock</v>
      </c>
      <c r="C85" s="12" t="str">
        <v>Cumulative C stock</v>
      </c>
      <c r="D85" s="12" t="str">
        <v>observed core mean; one sample SE</v>
      </c>
      <c r="E85" s="12" t="str">
        <v>Figure 2c</v>
      </c>
      <c r="F85" s="12" t="str">
        <v>Observed core mean</v>
      </c>
      <c r="G85" s="12" t="str">
        <v>polyculture</v>
      </c>
      <c r="H85" s="12" t="str">
        <v>10-20</v>
      </c>
      <c r="I85" s="12" t="n">
        <v>9.662028402456219</v>
      </c>
      <c r="J85" s="12" t="n">
        <v>1.0410339594768878</v>
      </c>
      <c r="K85" s="12" t="n">
        <v>8.620994442979331</v>
      </c>
      <c r="L85" s="12" t="n">
        <v>10.703062361933107</v>
      </c>
      <c r="M85" s="12" t="n">
        <v>9.662028402456219</v>
      </c>
      <c r="N85" s="12" t="n">
        <v>8.620994442979331</v>
      </c>
      <c r="O85" s="12" t="n">
        <v>10.703062361933107</v>
      </c>
      <c r="P85" s="12" t="n">
        <v>0</v>
      </c>
    </row>
    <row r="86">
      <c r="A86" s="12" t="str">
        <v>annual vegetables</v>
      </c>
      <c r="B86" s="12" t="str">
        <v>cumulative_c_stock</v>
      </c>
      <c r="C86" s="12" t="str">
        <v>Cumulative C stock</v>
      </c>
      <c r="D86" s="12" t="str">
        <v>observed core mean; one sample SE</v>
      </c>
      <c r="E86" s="12" t="str">
        <v>Figure 2c</v>
      </c>
      <c r="F86" s="12" t="str">
        <v>Observed core mean</v>
      </c>
      <c r="G86" s="12" t="str">
        <v>polyculture</v>
      </c>
      <c r="H86" s="12" t="str">
        <v>20-30</v>
      </c>
      <c r="I86" s="12" t="n">
        <v>13.635467050216793</v>
      </c>
      <c r="J86" s="12" t="n">
        <v>1.662725824686971</v>
      </c>
      <c r="K86" s="12" t="n">
        <v>11.972741225529822</v>
      </c>
      <c r="L86" s="12" t="n">
        <v>15.298192874903764</v>
      </c>
      <c r="M86" s="12" t="n">
        <v>13.635467050216793</v>
      </c>
      <c r="N86" s="12" t="n">
        <v>11.972741225529822</v>
      </c>
      <c r="O86" s="12" t="n">
        <v>15.298192874903764</v>
      </c>
      <c r="P86" s="12" t="n">
        <v>0</v>
      </c>
    </row>
    <row r="87">
      <c r="A87" s="12" t="str">
        <v>annual vegetables</v>
      </c>
      <c r="B87" s="12" t="str">
        <v>cumulative_c_stock</v>
      </c>
      <c r="C87" s="12" t="str">
        <v>Cumulative C stock</v>
      </c>
      <c r="D87" s="12" t="str">
        <v>observed core mean; one sample SE</v>
      </c>
      <c r="E87" s="12" t="str">
        <v>Figure 2c</v>
      </c>
      <c r="F87" s="12" t="str">
        <v>Observed core mean</v>
      </c>
      <c r="G87" s="12" t="str">
        <v>polyculture</v>
      </c>
      <c r="H87" s="12" t="str">
        <v>30-40</v>
      </c>
      <c r="I87" s="12" t="n">
        <v>16.529699329612786</v>
      </c>
      <c r="J87" s="12" t="n">
        <v>2.12892243471246</v>
      </c>
      <c r="K87" s="12" t="n">
        <v>14.400776894900325</v>
      </c>
      <c r="L87" s="12" t="n">
        <v>18.658621764325247</v>
      </c>
      <c r="M87" s="12" t="n">
        <v>16.529699329612786</v>
      </c>
      <c r="N87" s="12" t="n">
        <v>14.400776894900325</v>
      </c>
      <c r="O87" s="12" t="n">
        <v>18.658621764325247</v>
      </c>
      <c r="P87" s="12" t="n">
        <v>0</v>
      </c>
    </row>
    <row r="88">
      <c r="A88" s="12" t="str">
        <v>annual vegetables</v>
      </c>
      <c r="B88" s="12" t="str">
        <v>cumulative_c_stock</v>
      </c>
      <c r="C88" s="12" t="str">
        <v>Cumulative C stock</v>
      </c>
      <c r="D88" s="12" t="str">
        <v>observed core mean; one sample SE</v>
      </c>
      <c r="E88" s="12" t="str">
        <v>Figure 2c</v>
      </c>
      <c r="F88" s="12" t="str">
        <v>Observed core mean</v>
      </c>
      <c r="G88" s="12" t="str">
        <v>polyculture</v>
      </c>
      <c r="H88" s="12" t="str">
        <v>40-50</v>
      </c>
      <c r="I88" s="12" t="n">
        <v>19.05884066064868</v>
      </c>
      <c r="J88" s="12" t="n">
        <v>2.303722898888767</v>
      </c>
      <c r="K88" s="12" t="n">
        <v>16.755117761759912</v>
      </c>
      <c r="L88" s="12" t="n">
        <v>21.36256355953745</v>
      </c>
      <c r="M88" s="12" t="n">
        <v>19.05884066064868</v>
      </c>
      <c r="N88" s="12" t="n">
        <v>16.755117761759912</v>
      </c>
      <c r="O88" s="12" t="n">
        <v>21.36256355953745</v>
      </c>
      <c r="P88" s="12" t="n">
        <v>0</v>
      </c>
    </row>
    <row r="89">
      <c r="A89" s="12" t="str">
        <v>annual vegetables</v>
      </c>
      <c r="B89" s="12" t="str">
        <v>cumulative_c_stock</v>
      </c>
      <c r="C89" s="12" t="str">
        <v>Cumulative C stock</v>
      </c>
      <c r="D89" s="12" t="str">
        <v>observed core mean; one sample SE</v>
      </c>
      <c r="E89" s="12" t="str">
        <v>Figure 2c</v>
      </c>
      <c r="F89" s="12" t="str">
        <v>Observed core mean</v>
      </c>
      <c r="G89" s="12" t="str">
        <v>polyculture</v>
      </c>
      <c r="H89" s="12" t="str">
        <v>50-100</v>
      </c>
      <c r="I89" s="12" t="n">
        <v>28.958569794910705</v>
      </c>
      <c r="J89" s="12" t="n">
        <v>3.2230214611436945</v>
      </c>
      <c r="K89" s="12" t="n">
        <v>25.73554833376701</v>
      </c>
      <c r="L89" s="12" t="n">
        <v>32.181591256054396</v>
      </c>
      <c r="M89" s="12" t="n">
        <v>28.958569794910705</v>
      </c>
      <c r="N89" s="12" t="n">
        <v>25.73554833376701</v>
      </c>
      <c r="O89" s="12" t="n">
        <v>32.181591256054396</v>
      </c>
      <c r="P89" s="12" t="n">
        <v>0</v>
      </c>
    </row>
    <row r="90">
      <c r="A90" s="12" t="str">
        <v>orchards</v>
      </c>
      <c r="B90" s="12" t="str">
        <v>cumulative_c_stock</v>
      </c>
      <c r="C90" s="12" t="str">
        <v>Cumulative C stock</v>
      </c>
      <c r="D90" s="12" t="str">
        <v>observed core mean; one sample SE</v>
      </c>
      <c r="E90" s="12" t="str">
        <v>Figure 3c</v>
      </c>
      <c r="F90" s="12" t="str">
        <v>Observed core mean</v>
      </c>
      <c r="G90" s="12" t="str">
        <v>20-year-old orchard</v>
      </c>
      <c r="H90" s="12" t="str">
        <v>0-10</v>
      </c>
      <c r="I90" s="12" t="n">
        <v>9.571003670721293</v>
      </c>
      <c r="J90" s="12" t="n">
        <v>0.4382499227353017</v>
      </c>
      <c r="K90" s="12" t="n">
        <v>9.13275374798599</v>
      </c>
      <c r="L90" s="12" t="n">
        <v>10.009253593456595</v>
      </c>
      <c r="M90" s="12" t="n">
        <v>9.571003670721293</v>
      </c>
      <c r="N90" s="12" t="n">
        <v>9.13275374798599</v>
      </c>
      <c r="O90" s="12" t="n">
        <v>10.009253593456595</v>
      </c>
      <c r="P90" s="12" t="n">
        <v>0</v>
      </c>
    </row>
    <row r="91">
      <c r="A91" s="12" t="str">
        <v>orchards</v>
      </c>
      <c r="B91" s="12" t="str">
        <v>cumulative_c_stock</v>
      </c>
      <c r="C91" s="12" t="str">
        <v>Cumulative C stock</v>
      </c>
      <c r="D91" s="12" t="str">
        <v>observed core mean; one sample SE</v>
      </c>
      <c r="E91" s="12" t="str">
        <v>Figure 3c</v>
      </c>
      <c r="F91" s="12" t="str">
        <v>Observed core mean</v>
      </c>
      <c r="G91" s="12" t="str">
        <v>20-year-old orchard</v>
      </c>
      <c r="H91" s="12" t="str">
        <v>10-20</v>
      </c>
      <c r="I91" s="12" t="n">
        <v>13.80963127122162</v>
      </c>
      <c r="J91" s="12" t="n">
        <v>0.6068456877671624</v>
      </c>
      <c r="K91" s="12" t="n">
        <v>13.202785583454459</v>
      </c>
      <c r="L91" s="12" t="n">
        <v>14.416476958988783</v>
      </c>
      <c r="M91" s="12" t="n">
        <v>13.80963127122162</v>
      </c>
      <c r="N91" s="12" t="n">
        <v>13.202785583454459</v>
      </c>
      <c r="O91" s="12" t="n">
        <v>14.416476958988783</v>
      </c>
      <c r="P91" s="12" t="n">
        <v>0</v>
      </c>
    </row>
    <row r="92">
      <c r="A92" s="12" t="str">
        <v>orchards</v>
      </c>
      <c r="B92" s="12" t="str">
        <v>cumulative_c_stock</v>
      </c>
      <c r="C92" s="12" t="str">
        <v>Cumulative C stock</v>
      </c>
      <c r="D92" s="12" t="str">
        <v>observed core mean; one sample SE</v>
      </c>
      <c r="E92" s="12" t="str">
        <v>Figure 3c</v>
      </c>
      <c r="F92" s="12" t="str">
        <v>Observed core mean</v>
      </c>
      <c r="G92" s="12" t="str">
        <v>20-year-old orchard</v>
      </c>
      <c r="H92" s="12" t="str">
        <v>20-50</v>
      </c>
      <c r="I92" s="12" t="n">
        <v>20.560278409017474</v>
      </c>
      <c r="J92" s="12" t="n">
        <v>1.4549371930913197</v>
      </c>
      <c r="K92" s="12" t="n">
        <v>19.105341215926156</v>
      </c>
      <c r="L92" s="12" t="n">
        <v>22.015215602108793</v>
      </c>
      <c r="M92" s="12" t="n">
        <v>20.560278409017474</v>
      </c>
      <c r="N92" s="12" t="n">
        <v>19.105341215926156</v>
      </c>
      <c r="O92" s="12" t="n">
        <v>22.015215602108793</v>
      </c>
      <c r="P92" s="12" t="n">
        <v>0</v>
      </c>
    </row>
    <row r="93">
      <c r="A93" s="12" t="str">
        <v>orchards</v>
      </c>
      <c r="B93" s="12" t="str">
        <v>cumulative_c_stock</v>
      </c>
      <c r="C93" s="12" t="str">
        <v>Cumulative C stock</v>
      </c>
      <c r="D93" s="12" t="str">
        <v>observed core mean; one sample SE</v>
      </c>
      <c r="E93" s="12" t="str">
        <v>Figure 3c</v>
      </c>
      <c r="F93" s="12" t="str">
        <v>Observed core mean</v>
      </c>
      <c r="G93" s="12" t="str">
        <v>20-year-old orchard</v>
      </c>
      <c r="H93" s="12" t="str">
        <v>50-75</v>
      </c>
      <c r="I93" s="12" t="n">
        <v>26.369085413889202</v>
      </c>
      <c r="J93" s="12" t="n">
        <v>2.1112336430435494</v>
      </c>
      <c r="K93" s="12" t="n">
        <v>24.257851770845654</v>
      </c>
      <c r="L93" s="12" t="n">
        <v>28.48031905693275</v>
      </c>
      <c r="M93" s="12" t="n">
        <v>26.369085413889202</v>
      </c>
      <c r="N93" s="12" t="n">
        <v>24.257851770845654</v>
      </c>
      <c r="O93" s="12" t="n">
        <v>28.48031905693275</v>
      </c>
      <c r="P93" s="12" t="n">
        <v>0</v>
      </c>
    </row>
    <row r="94">
      <c r="A94" s="12" t="str">
        <v>orchards</v>
      </c>
      <c r="B94" s="12" t="str">
        <v>cumulative_c_stock</v>
      </c>
      <c r="C94" s="12" t="str">
        <v>Cumulative C stock</v>
      </c>
      <c r="D94" s="12" t="str">
        <v>observed core mean; one sample SE</v>
      </c>
      <c r="E94" s="12" t="str">
        <v>Figure 3c</v>
      </c>
      <c r="F94" s="12" t="str">
        <v>Observed core mean</v>
      </c>
      <c r="G94" s="12" t="str">
        <v>60-year-old orchard</v>
      </c>
      <c r="H94" s="12" t="str">
        <v>0-10</v>
      </c>
      <c r="I94" s="12" t="n">
        <v>12.421403463708101</v>
      </c>
      <c r="J94" s="12" t="n">
        <v>2.9512170031303477</v>
      </c>
      <c r="K94" s="12" t="n">
        <v>9.470186460577754</v>
      </c>
      <c r="L94" s="12" t="n">
        <v>15.372620466838448</v>
      </c>
      <c r="M94" s="12" t="n">
        <v>12.421403463708101</v>
      </c>
      <c r="N94" s="12" t="n">
        <v>9.470186460577754</v>
      </c>
      <c r="O94" s="12" t="n">
        <v>15.372620466838448</v>
      </c>
      <c r="P94" s="12" t="n">
        <v>0</v>
      </c>
    </row>
    <row r="95">
      <c r="A95" s="12" t="str">
        <v>orchards</v>
      </c>
      <c r="B95" s="12" t="str">
        <v>cumulative_c_stock</v>
      </c>
      <c r="C95" s="12" t="str">
        <v>Cumulative C stock</v>
      </c>
      <c r="D95" s="12" t="str">
        <v>observed core mean; one sample SE</v>
      </c>
      <c r="E95" s="12" t="str">
        <v>Figure 3c</v>
      </c>
      <c r="F95" s="12" t="str">
        <v>Observed core mean</v>
      </c>
      <c r="G95" s="12" t="str">
        <v>60-year-old orchard</v>
      </c>
      <c r="H95" s="12" t="str">
        <v>10-20</v>
      </c>
      <c r="I95" s="12" t="n">
        <v>15.401117029493749</v>
      </c>
      <c r="J95" s="12" t="n">
        <v>3.127865015252066</v>
      </c>
      <c r="K95" s="12" t="n">
        <v>12.273252014241683</v>
      </c>
      <c r="L95" s="12" t="n">
        <v>18.528982044745817</v>
      </c>
      <c r="M95" s="12" t="n">
        <v>15.401117029493749</v>
      </c>
      <c r="N95" s="12" t="n">
        <v>12.273252014241683</v>
      </c>
      <c r="O95" s="12" t="n">
        <v>18.528982044745817</v>
      </c>
      <c r="P95" s="12" t="n">
        <v>0</v>
      </c>
    </row>
    <row r="96">
      <c r="A96" s="12" t="str">
        <v>orchards</v>
      </c>
      <c r="B96" s="12" t="str">
        <v>cumulative_c_stock</v>
      </c>
      <c r="C96" s="12" t="str">
        <v>Cumulative C stock</v>
      </c>
      <c r="D96" s="12" t="str">
        <v>observed core mean; one sample SE</v>
      </c>
      <c r="E96" s="12" t="str">
        <v>Figure 3c</v>
      </c>
      <c r="F96" s="12" t="str">
        <v>Observed core mean</v>
      </c>
      <c r="G96" s="12" t="str">
        <v>60-year-old orchard</v>
      </c>
      <c r="H96" s="12" t="str">
        <v>20-50</v>
      </c>
      <c r="I96" s="12" t="n">
        <v>19.110189359615156</v>
      </c>
      <c r="J96" s="12" t="n">
        <v>2.8884963648919553</v>
      </c>
      <c r="K96" s="12" t="n">
        <v>16.2216929947232</v>
      </c>
      <c r="L96" s="12" t="n">
        <v>21.998685724507112</v>
      </c>
      <c r="M96" s="12" t="n">
        <v>19.110189359615156</v>
      </c>
      <c r="N96" s="12" t="n">
        <v>16.2216929947232</v>
      </c>
      <c r="O96" s="12" t="n">
        <v>21.998685724507112</v>
      </c>
      <c r="P96" s="12" t="n">
        <v>0</v>
      </c>
    </row>
    <row r="97">
      <c r="A97" s="12" t="str">
        <v>orchards</v>
      </c>
      <c r="B97" s="12" t="str">
        <v>cumulative_c_stock</v>
      </c>
      <c r="C97" s="12" t="str">
        <v>Cumulative C stock</v>
      </c>
      <c r="D97" s="12" t="str">
        <v>observed core mean; one sample SE</v>
      </c>
      <c r="E97" s="12" t="str">
        <v>Figure 3c</v>
      </c>
      <c r="F97" s="12" t="str">
        <v>Observed core mean</v>
      </c>
      <c r="G97" s="12" t="str">
        <v>60-year-old orchard</v>
      </c>
      <c r="H97" s="12" t="str">
        <v>50-75</v>
      </c>
      <c r="I97" s="12" t="n">
        <v>22.502547211603577</v>
      </c>
      <c r="J97" s="12" t="n">
        <v>3.2281861687910998</v>
      </c>
      <c r="K97" s="12" t="n">
        <v>19.274361042812476</v>
      </c>
      <c r="L97" s="12" t="n">
        <v>25.73073338039468</v>
      </c>
      <c r="M97" s="12" t="n">
        <v>22.502547211603577</v>
      </c>
      <c r="N97" s="12" t="n">
        <v>19.274361042812476</v>
      </c>
      <c r="O97" s="12" t="n">
        <v>25.73073338039468</v>
      </c>
      <c r="P97" s="12" t="n">
        <v>0</v>
      </c>
    </row>
    <row r="98">
      <c r="A98" s="12" t="str">
        <v>hedgerows</v>
      </c>
      <c r="B98" s="12" t="str">
        <v>cumulative_c_stock</v>
      </c>
      <c r="C98" s="12" t="str">
        <v>Cumulative C stock</v>
      </c>
      <c r="D98" s="12" t="str">
        <v>observed core mean; one sample SE</v>
      </c>
      <c r="E98" s="12" t="str">
        <v>Figure 4c</v>
      </c>
      <c r="F98" s="12" t="str">
        <v>Observed core mean</v>
      </c>
      <c r="G98" s="12" t="str">
        <v>bare field margin</v>
      </c>
      <c r="H98" s="12" t="str">
        <v>0-10</v>
      </c>
      <c r="I98" s="12" t="n">
        <v>9.476708018641</v>
      </c>
      <c r="J98" s="12" t="n">
        <v>0.6303389538005645</v>
      </c>
      <c r="K98" s="12" t="n">
        <v>8.846369064840436</v>
      </c>
      <c r="L98" s="12" t="n">
        <v>10.107046972441564</v>
      </c>
      <c r="M98" s="12" t="n">
        <v>9.476708018641</v>
      </c>
      <c r="N98" s="12" t="n">
        <v>8.846369064840436</v>
      </c>
      <c r="O98" s="12" t="n">
        <v>10.107046972441564</v>
      </c>
      <c r="P98" s="12" t="n">
        <v>0</v>
      </c>
    </row>
    <row r="99">
      <c r="A99" s="12" t="str">
        <v>hedgerows</v>
      </c>
      <c r="B99" s="12" t="str">
        <v>cumulative_c_stock</v>
      </c>
      <c r="C99" s="12" t="str">
        <v>Cumulative C stock</v>
      </c>
      <c r="D99" s="12" t="str">
        <v>observed core mean; one sample SE</v>
      </c>
      <c r="E99" s="12" t="str">
        <v>Figure 4c</v>
      </c>
      <c r="F99" s="12" t="str">
        <v>Observed core mean</v>
      </c>
      <c r="G99" s="12" t="str">
        <v>bare field margin</v>
      </c>
      <c r="H99" s="12" t="str">
        <v>10-20</v>
      </c>
      <c r="I99" s="12" t="n">
        <v>17.825944148864316</v>
      </c>
      <c r="J99" s="12" t="n">
        <v>0.200259392733161</v>
      </c>
      <c r="K99" s="12" t="n">
        <v>17.625684756131154</v>
      </c>
      <c r="L99" s="12" t="n">
        <v>18.02620354159748</v>
      </c>
      <c r="M99" s="12" t="n">
        <v>17.825944148864316</v>
      </c>
      <c r="N99" s="12" t="n">
        <v>17.625684756131154</v>
      </c>
      <c r="O99" s="12" t="n">
        <v>18.02620354159748</v>
      </c>
      <c r="P99" s="12" t="n">
        <v>0</v>
      </c>
    </row>
    <row r="100">
      <c r="A100" s="12" t="str">
        <v>hedgerows</v>
      </c>
      <c r="B100" s="12" t="str">
        <v>cumulative_c_stock</v>
      </c>
      <c r="C100" s="12" t="str">
        <v>Cumulative C stock</v>
      </c>
      <c r="D100" s="12" t="str">
        <v>observed core mean; one sample SE</v>
      </c>
      <c r="E100" s="12" t="str">
        <v>Figure 4c</v>
      </c>
      <c r="F100" s="12" t="str">
        <v>Observed core mean</v>
      </c>
      <c r="G100" s="12" t="str">
        <v>bare field margin</v>
      </c>
      <c r="H100" s="12" t="str">
        <v>20-50</v>
      </c>
      <c r="I100" s="12" t="n">
        <v>39.39371742555036</v>
      </c>
      <c r="J100" s="12" t="n">
        <v>2.232220838334948</v>
      </c>
      <c r="K100" s="12" t="n">
        <v>37.16149658721542</v>
      </c>
      <c r="L100" s="12" t="n">
        <v>41.62593826388531</v>
      </c>
      <c r="M100" s="12" t="n">
        <v>39.39371742555036</v>
      </c>
      <c r="N100" s="12" t="n">
        <v>37.16149658721542</v>
      </c>
      <c r="O100" s="12" t="n">
        <v>41.62593826388531</v>
      </c>
      <c r="P100" s="12" t="n">
        <v>0</v>
      </c>
    </row>
    <row r="101">
      <c r="A101" s="12" t="str">
        <v>hedgerows</v>
      </c>
      <c r="B101" s="12" t="str">
        <v>cumulative_c_stock</v>
      </c>
      <c r="C101" s="12" t="str">
        <v>Cumulative C stock</v>
      </c>
      <c r="D101" s="12" t="str">
        <v>observed core mean; one sample SE</v>
      </c>
      <c r="E101" s="12" t="str">
        <v>Figure 4c</v>
      </c>
      <c r="F101" s="12" t="str">
        <v>Observed core mean</v>
      </c>
      <c r="G101" s="12" t="str">
        <v>bare field margin</v>
      </c>
      <c r="H101" s="12" t="str">
        <v>50-75</v>
      </c>
      <c r="I101" s="12" t="n">
        <v>52.021567378651866</v>
      </c>
      <c r="J101" s="12" t="n">
        <v>3.522313594685337</v>
      </c>
      <c r="K101" s="12" t="n">
        <v>48.49925378396653</v>
      </c>
      <c r="L101" s="12" t="n">
        <v>55.5438809733372</v>
      </c>
      <c r="M101" s="12" t="n">
        <v>52.021567378651866</v>
      </c>
      <c r="N101" s="12" t="n">
        <v>48.49925378396653</v>
      </c>
      <c r="O101" s="12" t="n">
        <v>55.5438809733372</v>
      </c>
      <c r="P101" s="12" t="n">
        <v>0</v>
      </c>
    </row>
    <row r="102">
      <c r="A102" s="12" t="str">
        <v>hedgerows</v>
      </c>
      <c r="B102" s="12" t="str">
        <v>cumulative_c_stock</v>
      </c>
      <c r="C102" s="12" t="str">
        <v>Cumulative C stock</v>
      </c>
      <c r="D102" s="12" t="str">
        <v>observed core mean; one sample SE</v>
      </c>
      <c r="E102" s="12" t="str">
        <v>Figure 4c</v>
      </c>
      <c r="F102" s="12" t="str">
        <v>Observed core mean</v>
      </c>
      <c r="G102" s="12" t="str">
        <v>10-year-old hedgerow</v>
      </c>
      <c r="H102" s="12" t="str">
        <v>0-10</v>
      </c>
      <c r="I102" s="12" t="n">
        <v>17.067451209843263</v>
      </c>
      <c r="J102" s="12" t="n">
        <v>1.131729377306673</v>
      </c>
      <c r="K102" s="12" t="n">
        <v>15.93572183253659</v>
      </c>
      <c r="L102" s="12" t="n">
        <v>18.199180587149936</v>
      </c>
      <c r="M102" s="12" t="n">
        <v>17.067451209843263</v>
      </c>
      <c r="N102" s="12" t="n">
        <v>15.93572183253659</v>
      </c>
      <c r="O102" s="12" t="n">
        <v>18.199180587149936</v>
      </c>
      <c r="P102" s="12" t="n">
        <v>0</v>
      </c>
    </row>
    <row r="103">
      <c r="A103" s="12" t="str">
        <v>hedgerows</v>
      </c>
      <c r="B103" s="12" t="str">
        <v>cumulative_c_stock</v>
      </c>
      <c r="C103" s="12" t="str">
        <v>Cumulative C stock</v>
      </c>
      <c r="D103" s="12" t="str">
        <v>observed core mean; one sample SE</v>
      </c>
      <c r="E103" s="12" t="str">
        <v>Figure 4c</v>
      </c>
      <c r="F103" s="12" t="str">
        <v>Observed core mean</v>
      </c>
      <c r="G103" s="12" t="str">
        <v>10-year-old hedgerow</v>
      </c>
      <c r="H103" s="12" t="str">
        <v>10-20</v>
      </c>
      <c r="I103" s="12" t="n">
        <v>24.87458930636164</v>
      </c>
      <c r="J103" s="12" t="n">
        <v>1.903284448620704</v>
      </c>
      <c r="K103" s="12" t="n">
        <v>22.971304857740936</v>
      </c>
      <c r="L103" s="12" t="n">
        <v>26.77787375498234</v>
      </c>
      <c r="M103" s="12" t="n">
        <v>24.87458930636164</v>
      </c>
      <c r="N103" s="12" t="n">
        <v>22.971304857740936</v>
      </c>
      <c r="O103" s="12" t="n">
        <v>26.77787375498234</v>
      </c>
      <c r="P103" s="12" t="n">
        <v>0</v>
      </c>
    </row>
    <row r="104">
      <c r="A104" s="12" t="str">
        <v>hedgerows</v>
      </c>
      <c r="B104" s="12" t="str">
        <v>cumulative_c_stock</v>
      </c>
      <c r="C104" s="12" t="str">
        <v>Cumulative C stock</v>
      </c>
      <c r="D104" s="12" t="str">
        <v>observed core mean; one sample SE</v>
      </c>
      <c r="E104" s="12" t="str">
        <v>Figure 4c</v>
      </c>
      <c r="F104" s="12" t="str">
        <v>Observed core mean</v>
      </c>
      <c r="G104" s="12" t="str">
        <v>10-year-old hedgerow</v>
      </c>
      <c r="H104" s="12" t="str">
        <v>20-50</v>
      </c>
      <c r="I104" s="12" t="n">
        <v>43.00549221413535</v>
      </c>
      <c r="J104" s="12" t="n">
        <v>3.3768169017336707</v>
      </c>
      <c r="K104" s="12" t="n">
        <v>39.62867531240168</v>
      </c>
      <c r="L104" s="12" t="n">
        <v>46.38230911586902</v>
      </c>
      <c r="M104" s="12" t="n">
        <v>43.00549221413535</v>
      </c>
      <c r="N104" s="12" t="n">
        <v>39.62867531240168</v>
      </c>
      <c r="O104" s="12" t="n">
        <v>46.38230911586902</v>
      </c>
      <c r="P104" s="12" t="n">
        <v>0</v>
      </c>
    </row>
    <row r="105">
      <c r="A105" s="12" t="str">
        <v>hedgerows</v>
      </c>
      <c r="B105" s="12" t="str">
        <v>cumulative_c_stock</v>
      </c>
      <c r="C105" s="12" t="str">
        <v>Cumulative C stock</v>
      </c>
      <c r="D105" s="12" t="str">
        <v>observed core mean; one sample SE</v>
      </c>
      <c r="E105" s="12" t="str">
        <v>Figure 4c</v>
      </c>
      <c r="F105" s="12" t="str">
        <v>Observed core mean</v>
      </c>
      <c r="G105" s="12" t="str">
        <v>10-year-old hedgerow</v>
      </c>
      <c r="H105" s="12" t="str">
        <v>50-75</v>
      </c>
      <c r="I105" s="12" t="n">
        <v>56.48760030922638</v>
      </c>
      <c r="J105" s="12" t="n">
        <v>3.872838690150103</v>
      </c>
      <c r="K105" s="12" t="n">
        <v>52.614761619076276</v>
      </c>
      <c r="L105" s="12" t="n">
        <v>60.360438999376484</v>
      </c>
      <c r="M105" s="12" t="n">
        <v>56.48760030922638</v>
      </c>
      <c r="N105" s="12" t="n">
        <v>52.614761619076276</v>
      </c>
      <c r="O105" s="12" t="n">
        <v>60.360438999376484</v>
      </c>
      <c r="P105" s="12" t="n">
        <v>0</v>
      </c>
    </row>
    <row r="106">
      <c r="A106" s="12" t="str">
        <v>hedgerows</v>
      </c>
      <c r="B106" s="12" t="str">
        <v>cumulative_c_stock</v>
      </c>
      <c r="C106" s="12" t="str">
        <v>Cumulative C stock</v>
      </c>
      <c r="D106" s="12" t="str">
        <v>observed core mean; one sample SE</v>
      </c>
      <c r="E106" s="12" t="str">
        <v>Figure 4c</v>
      </c>
      <c r="F106" s="12" t="str">
        <v>Observed core mean</v>
      </c>
      <c r="G106" s="12" t="str">
        <v>30-year-old hedgerow</v>
      </c>
      <c r="H106" s="12" t="str">
        <v>0-10</v>
      </c>
      <c r="I106" s="12" t="n">
        <v>15.14133900597306</v>
      </c>
      <c r="J106" s="12" t="n">
        <v>1.5938473007038052</v>
      </c>
      <c r="K106" s="12" t="n">
        <v>13.547491705269255</v>
      </c>
      <c r="L106" s="12" t="n">
        <v>16.735186306676866</v>
      </c>
      <c r="M106" s="12" t="n">
        <v>15.14133900597306</v>
      </c>
      <c r="N106" s="12" t="n">
        <v>13.547491705269255</v>
      </c>
      <c r="O106" s="12" t="n">
        <v>16.735186306676866</v>
      </c>
      <c r="P106" s="12" t="n">
        <v>0</v>
      </c>
    </row>
    <row r="107">
      <c r="A107" s="12" t="str">
        <v>hedgerows</v>
      </c>
      <c r="B107" s="12" t="str">
        <v>cumulative_c_stock</v>
      </c>
      <c r="C107" s="12" t="str">
        <v>Cumulative C stock</v>
      </c>
      <c r="D107" s="12" t="str">
        <v>observed core mean; one sample SE</v>
      </c>
      <c r="E107" s="12" t="str">
        <v>Figure 4c</v>
      </c>
      <c r="F107" s="12" t="str">
        <v>Observed core mean</v>
      </c>
      <c r="G107" s="12" t="str">
        <v>30-year-old hedgerow</v>
      </c>
      <c r="H107" s="12" t="str">
        <v>10-20</v>
      </c>
      <c r="I107" s="12" t="n">
        <v>23.643931143193836</v>
      </c>
      <c r="J107" s="12" t="n">
        <v>1.757580428974707</v>
      </c>
      <c r="K107" s="12" t="n">
        <v>21.88635071421913</v>
      </c>
      <c r="L107" s="12" t="n">
        <v>25.40151157216854</v>
      </c>
      <c r="M107" s="12" t="n">
        <v>23.643931143193836</v>
      </c>
      <c r="N107" s="12" t="n">
        <v>21.88635071421913</v>
      </c>
      <c r="O107" s="12" t="n">
        <v>25.40151157216854</v>
      </c>
      <c r="P107" s="12" t="n">
        <v>0</v>
      </c>
    </row>
    <row r="108">
      <c r="A108" s="12" t="str">
        <v>hedgerows</v>
      </c>
      <c r="B108" s="12" t="str">
        <v>cumulative_c_stock</v>
      </c>
      <c r="C108" s="12" t="str">
        <v>Cumulative C stock</v>
      </c>
      <c r="D108" s="12" t="str">
        <v>observed core mean; one sample SE</v>
      </c>
      <c r="E108" s="12" t="str">
        <v>Figure 4c</v>
      </c>
      <c r="F108" s="12" t="str">
        <v>Observed core mean</v>
      </c>
      <c r="G108" s="12" t="str">
        <v>30-year-old hedgerow</v>
      </c>
      <c r="H108" s="12" t="str">
        <v>20-50</v>
      </c>
      <c r="I108" s="12" t="n">
        <v>39.20397306591523</v>
      </c>
      <c r="J108" s="12" t="n">
        <v>0.4541107771840533</v>
      </c>
      <c r="K108" s="12" t="n">
        <v>38.74986228873117</v>
      </c>
      <c r="L108" s="12" t="n">
        <v>39.658083843099284</v>
      </c>
      <c r="M108" s="12" t="n">
        <v>39.20397306591523</v>
      </c>
      <c r="N108" s="12" t="n">
        <v>38.74986228873117</v>
      </c>
      <c r="O108" s="12" t="n">
        <v>39.658083843099284</v>
      </c>
      <c r="P108" s="12" t="n">
        <v>0</v>
      </c>
    </row>
    <row r="109">
      <c r="A109" s="12" t="str">
        <v>hedgerows</v>
      </c>
      <c r="B109" s="12" t="str">
        <v>cumulative_c_stock</v>
      </c>
      <c r="C109" s="12" t="str">
        <v>Cumulative C stock</v>
      </c>
      <c r="D109" s="12" t="str">
        <v>observed core mean; one sample SE</v>
      </c>
      <c r="E109" s="12" t="str">
        <v>Figure 4c</v>
      </c>
      <c r="F109" s="12" t="str">
        <v>Observed core mean</v>
      </c>
      <c r="G109" s="12" t="str">
        <v>30-year-old hedgerow</v>
      </c>
      <c r="H109" s="12" t="str">
        <v>50-75</v>
      </c>
      <c r="I109" s="12" t="n">
        <v>50.253584192955685</v>
      </c>
      <c r="J109" s="12" t="n">
        <v>1.0328250273464539</v>
      </c>
      <c r="K109" s="12" t="n">
        <v>49.22075916560923</v>
      </c>
      <c r="L109" s="12" t="n">
        <v>51.28640922030214</v>
      </c>
      <c r="M109" s="12" t="n">
        <v>50.253584192955685</v>
      </c>
      <c r="N109" s="12" t="n">
        <v>49.22075916560923</v>
      </c>
      <c r="O109" s="12" t="n">
        <v>51.28640922030214</v>
      </c>
      <c r="P109" s="12" t="n">
        <v>0</v>
      </c>
    </row>
    <row r="110" ht="15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</row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2" width="17.0"/>
    <col customWidth="1" min="13" max="13" width="44.0"/>
    <col customWidth="1" min="14" max="38" width="17.0"/>
    <col customWidth="1" min="39" max="39" width="44.0"/>
  </cols>
  <sheetData>
    <row r="1">
      <c r="A1" s="9" t="s">
        <v>80</v>
      </c>
      <c r="B1" s="9" t="s">
        <v>81</v>
      </c>
      <c r="C1" s="9" t="s">
        <v>82</v>
      </c>
      <c r="D1" s="9" t="s">
        <v>83</v>
      </c>
      <c r="E1" s="9" t="s">
        <v>84</v>
      </c>
      <c r="F1" s="9" t="s">
        <v>85</v>
      </c>
      <c r="G1" s="9" t="s">
        <v>86</v>
      </c>
      <c r="H1" s="9" t="s">
        <v>87</v>
      </c>
      <c r="I1" s="9" t="s">
        <v>88</v>
      </c>
      <c r="J1" s="9" t="s">
        <v>89</v>
      </c>
      <c r="K1" s="9" t="s">
        <v>90</v>
      </c>
      <c r="L1" s="9" t="s">
        <v>30</v>
      </c>
      <c r="M1" s="9" t="s">
        <v>93</v>
      </c>
      <c r="N1" s="9" t="s">
        <v>94</v>
      </c>
      <c r="O1" s="9" t="s">
        <v>95</v>
      </c>
      <c r="P1" s="9" t="s">
        <v>96</v>
      </c>
      <c r="Q1" s="9" t="s">
        <v>97</v>
      </c>
      <c r="R1" s="9" t="s">
        <v>49</v>
      </c>
      <c r="S1" s="9" t="s">
        <v>98</v>
      </c>
      <c r="T1" s="9" t="s">
        <v>99</v>
      </c>
      <c r="U1" s="9" t="s">
        <v>100</v>
      </c>
      <c r="V1" s="9" t="s">
        <v>102</v>
      </c>
      <c r="W1" s="9" t="s">
        <v>103</v>
      </c>
      <c r="X1" s="9" t="s">
        <v>104</v>
      </c>
      <c r="Y1" s="9" t="s">
        <v>105</v>
      </c>
      <c r="Z1" s="9" t="s">
        <v>106</v>
      </c>
      <c r="AA1" s="9" t="s">
        <v>107</v>
      </c>
      <c r="AB1" s="9" t="s">
        <v>108</v>
      </c>
      <c r="AC1" s="9" t="s">
        <v>109</v>
      </c>
      <c r="AD1" s="9" t="s">
        <v>110</v>
      </c>
      <c r="AE1" s="9" t="s">
        <v>111</v>
      </c>
      <c r="AF1" s="9" t="s">
        <v>72</v>
      </c>
      <c r="AG1" s="9" t="s">
        <v>112</v>
      </c>
      <c r="AH1" s="9" t="s">
        <v>114</v>
      </c>
      <c r="AI1" s="9" t="s">
        <v>23</v>
      </c>
      <c r="AJ1" s="9" t="s">
        <v>116</v>
      </c>
      <c r="AK1" s="9" t="s">
        <v>117</v>
      </c>
      <c r="AL1" s="9" t="s">
        <v>118</v>
      </c>
      <c r="AM1" s="9" t="s">
        <v>119</v>
      </c>
    </row>
    <row r="2">
      <c r="A2" s="10" t="s">
        <v>120</v>
      </c>
      <c r="B2" s="10">
        <v>1.0</v>
      </c>
      <c r="C2" s="10">
        <v>1.0</v>
      </c>
      <c r="D2" s="10" t="s">
        <v>122</v>
      </c>
      <c r="E2" s="10" t="s">
        <v>66</v>
      </c>
      <c r="F2" s="10">
        <v>40.0</v>
      </c>
      <c r="G2" s="10">
        <v>1.0</v>
      </c>
      <c r="H2" s="10" t="s">
        <v>123</v>
      </c>
      <c r="I2" s="10" t="s">
        <v>124</v>
      </c>
      <c r="J2" s="10" t="s">
        <v>125</v>
      </c>
      <c r="K2" s="10">
        <v>1.0</v>
      </c>
      <c r="L2" s="10" t="s">
        <v>67</v>
      </c>
      <c r="M2" s="10" t="s">
        <v>126</v>
      </c>
      <c r="N2" s="10">
        <v>0.0</v>
      </c>
      <c r="O2" s="10">
        <v>10.0</v>
      </c>
      <c r="P2" s="10">
        <v>5.0</v>
      </c>
      <c r="Q2" s="10">
        <v>-34.0</v>
      </c>
      <c r="R2" s="10">
        <v>0.36</v>
      </c>
      <c r="S2" s="10">
        <v>0.04</v>
      </c>
      <c r="T2" s="10">
        <v>0.2448999999999999</v>
      </c>
      <c r="U2" s="10">
        <v>0.1316808258952575</v>
      </c>
      <c r="V2" s="10">
        <v>108.85578087138309</v>
      </c>
      <c r="W2" s="10">
        <v>10.0</v>
      </c>
      <c r="X2" s="10">
        <v>114.009182796937</v>
      </c>
      <c r="Y2" s="10">
        <v>0.01760000000000006</v>
      </c>
      <c r="Z2" s="10">
        <v>0.01760000000000006</v>
      </c>
      <c r="AA2" s="10">
        <v>0.0</v>
      </c>
      <c r="AB2" s="10">
        <v>0.0</v>
      </c>
      <c r="AC2" s="10">
        <v>10.0</v>
      </c>
      <c r="AD2" s="10">
        <v>100.0</v>
      </c>
      <c r="AE2" s="10">
        <v>10.0</v>
      </c>
      <c r="AF2" s="10">
        <v>0.9547983609817405</v>
      </c>
      <c r="AG2" s="10">
        <v>3.437274099534266</v>
      </c>
      <c r="AH2" s="10" t="s">
        <v>66</v>
      </c>
      <c r="AI2" s="10" t="s">
        <v>45</v>
      </c>
      <c r="AJ2" s="10" t="s">
        <v>134</v>
      </c>
      <c r="AK2" s="10">
        <v>3.437274099534266</v>
      </c>
      <c r="AL2" s="10" t="s">
        <v>135</v>
      </c>
      <c r="AM2" s="10"/>
    </row>
    <row r="3">
      <c r="A3" s="12" t="s">
        <v>120</v>
      </c>
      <c r="B3" s="12">
        <v>2.0</v>
      </c>
      <c r="C3" s="12">
        <v>1.0</v>
      </c>
      <c r="D3" s="12" t="s">
        <v>122</v>
      </c>
      <c r="E3" s="12" t="s">
        <v>66</v>
      </c>
      <c r="F3" s="12">
        <v>40.0</v>
      </c>
      <c r="G3" s="12">
        <v>1.0</v>
      </c>
      <c r="H3" s="12" t="s">
        <v>123</v>
      </c>
      <c r="I3" s="12" t="s">
        <v>124</v>
      </c>
      <c r="J3" s="12" t="s">
        <v>125</v>
      </c>
      <c r="K3" s="12">
        <v>2.0</v>
      </c>
      <c r="L3" s="12" t="s">
        <v>138</v>
      </c>
      <c r="M3" s="12" t="s">
        <v>139</v>
      </c>
      <c r="N3" s="12">
        <v>10.0</v>
      </c>
      <c r="O3" s="12">
        <v>20.0</v>
      </c>
      <c r="P3" s="12">
        <v>15.0</v>
      </c>
      <c r="Q3" s="12">
        <v>-33.8</v>
      </c>
      <c r="R3" s="12">
        <v>0.35</v>
      </c>
      <c r="S3" s="12">
        <v>0.04</v>
      </c>
      <c r="T3" s="12">
        <v>0.24119999999999964</v>
      </c>
      <c r="U3" s="12">
        <v>0.12260458496416389</v>
      </c>
      <c r="V3" s="12">
        <v>105.33539732850352</v>
      </c>
      <c r="W3" s="12">
        <v>10.0</v>
      </c>
      <c r="X3" s="12">
        <v>114.009182796937</v>
      </c>
      <c r="Y3" s="12">
        <v>0.01969999999999983</v>
      </c>
      <c r="Z3" s="12">
        <v>0.01969999999999983</v>
      </c>
      <c r="AA3" s="12">
        <v>0.0</v>
      </c>
      <c r="AB3" s="12">
        <v>10.0</v>
      </c>
      <c r="AC3" s="12">
        <v>20.0</v>
      </c>
      <c r="AD3" s="12">
        <v>100.0</v>
      </c>
      <c r="AE3" s="12">
        <v>20.0</v>
      </c>
      <c r="AF3" s="12">
        <v>0.9239202908428661</v>
      </c>
      <c r="AG3" s="12">
        <v>3.233721017950031</v>
      </c>
      <c r="AH3" s="12" t="s">
        <v>66</v>
      </c>
      <c r="AI3" s="12" t="s">
        <v>45</v>
      </c>
      <c r="AJ3" s="12" t="s">
        <v>134</v>
      </c>
      <c r="AK3" s="12">
        <v>6.670995117484297</v>
      </c>
      <c r="AL3" s="12" t="s">
        <v>135</v>
      </c>
      <c r="AM3" s="12"/>
    </row>
    <row r="4">
      <c r="A4" s="12" t="s">
        <v>120</v>
      </c>
      <c r="B4" s="12">
        <v>3.0</v>
      </c>
      <c r="C4" s="12">
        <v>1.0</v>
      </c>
      <c r="D4" s="12" t="s">
        <v>122</v>
      </c>
      <c r="E4" s="12" t="s">
        <v>66</v>
      </c>
      <c r="F4" s="12">
        <v>40.0</v>
      </c>
      <c r="G4" s="12">
        <v>1.0</v>
      </c>
      <c r="H4" s="12" t="s">
        <v>123</v>
      </c>
      <c r="I4" s="12" t="s">
        <v>124</v>
      </c>
      <c r="J4" s="12" t="s">
        <v>125</v>
      </c>
      <c r="K4" s="12">
        <v>3.0</v>
      </c>
      <c r="L4" s="12" t="s">
        <v>142</v>
      </c>
      <c r="M4" s="12" t="s">
        <v>143</v>
      </c>
      <c r="N4" s="12">
        <v>20.0</v>
      </c>
      <c r="O4" s="12">
        <v>30.0</v>
      </c>
      <c r="P4" s="12">
        <v>25.0</v>
      </c>
      <c r="Q4" s="12">
        <v>-26.0</v>
      </c>
      <c r="R4" s="12">
        <v>0.5</v>
      </c>
      <c r="S4" s="12">
        <v>0.05</v>
      </c>
      <c r="T4" s="12">
        <v>0.21289999999999987</v>
      </c>
      <c r="U4" s="12">
        <v>0.11584503210360207</v>
      </c>
      <c r="V4" s="12">
        <v>113.94055298190864</v>
      </c>
      <c r="W4" s="12">
        <v>10.0</v>
      </c>
      <c r="X4" s="12">
        <v>114.009182796937</v>
      </c>
      <c r="Y4" s="12">
        <v>0.007399999999999851</v>
      </c>
      <c r="Z4" s="12">
        <v>0.007399999999999851</v>
      </c>
      <c r="AA4" s="12">
        <v>0.0</v>
      </c>
      <c r="AB4" s="12">
        <v>20.0</v>
      </c>
      <c r="AC4" s="12">
        <v>30.0</v>
      </c>
      <c r="AD4" s="12">
        <v>100.0</v>
      </c>
      <c r="AE4" s="12">
        <v>30.0</v>
      </c>
      <c r="AF4" s="12">
        <v>0.9993980325676871</v>
      </c>
      <c r="AG4" s="12">
        <v>4.9969901628384354</v>
      </c>
      <c r="AH4" s="12" t="s">
        <v>66</v>
      </c>
      <c r="AI4" s="12" t="s">
        <v>45</v>
      </c>
      <c r="AJ4" s="12" t="s">
        <v>134</v>
      </c>
      <c r="AK4" s="12">
        <v>11.667985280322732</v>
      </c>
      <c r="AL4" s="12" t="s">
        <v>135</v>
      </c>
      <c r="AM4" s="12"/>
    </row>
    <row r="5">
      <c r="A5" s="12" t="s">
        <v>120</v>
      </c>
      <c r="B5" s="12">
        <v>4.0</v>
      </c>
      <c r="C5" s="12">
        <v>1.0</v>
      </c>
      <c r="D5" s="12" t="s">
        <v>122</v>
      </c>
      <c r="E5" s="12" t="s">
        <v>66</v>
      </c>
      <c r="F5" s="12">
        <v>40.0</v>
      </c>
      <c r="G5" s="12">
        <v>1.0</v>
      </c>
      <c r="H5" s="12" t="s">
        <v>123</v>
      </c>
      <c r="I5" s="12" t="s">
        <v>124</v>
      </c>
      <c r="J5" s="12" t="s">
        <v>125</v>
      </c>
      <c r="K5" s="12">
        <v>4.0</v>
      </c>
      <c r="L5" s="12" t="s">
        <v>145</v>
      </c>
      <c r="M5" s="12" t="s">
        <v>147</v>
      </c>
      <c r="N5" s="12">
        <v>30.0</v>
      </c>
      <c r="O5" s="12">
        <v>40.0</v>
      </c>
      <c r="P5" s="12">
        <v>35.0</v>
      </c>
      <c r="Q5" s="12">
        <v>-23.4</v>
      </c>
      <c r="R5" s="12">
        <v>0.62</v>
      </c>
      <c r="S5" s="12">
        <v>0.07</v>
      </c>
      <c r="T5" s="12">
        <v>0.2466999999999997</v>
      </c>
      <c r="U5" s="12">
        <v>0.12839596127823447</v>
      </c>
      <c r="V5" s="12">
        <v>94.7894211521609</v>
      </c>
      <c r="W5" s="12">
        <v>10.0</v>
      </c>
      <c r="X5" s="12">
        <v>114.009182796937</v>
      </c>
      <c r="Y5" s="12">
        <v>0.0</v>
      </c>
      <c r="Z5" s="12">
        <v>0.0</v>
      </c>
      <c r="AA5" s="12">
        <v>0.0</v>
      </c>
      <c r="AB5" s="12">
        <v>30.0</v>
      </c>
      <c r="AC5" s="12">
        <v>40.0</v>
      </c>
      <c r="AD5" s="12">
        <v>100.0</v>
      </c>
      <c r="AE5" s="12">
        <v>40.0</v>
      </c>
      <c r="AF5" s="12">
        <v>0.8314191789357124</v>
      </c>
      <c r="AG5" s="12">
        <v>5.154798909401417</v>
      </c>
      <c r="AH5" s="12" t="s">
        <v>66</v>
      </c>
      <c r="AI5" s="12" t="s">
        <v>45</v>
      </c>
      <c r="AJ5" s="12" t="s">
        <v>134</v>
      </c>
      <c r="AK5" s="12">
        <v>16.82278418972415</v>
      </c>
      <c r="AL5" s="12" t="s">
        <v>135</v>
      </c>
      <c r="AM5" s="12"/>
    </row>
    <row r="6">
      <c r="A6" s="12" t="s">
        <v>120</v>
      </c>
      <c r="B6" s="12">
        <v>5.0</v>
      </c>
      <c r="C6" s="12">
        <v>1.0</v>
      </c>
      <c r="D6" s="12" t="s">
        <v>122</v>
      </c>
      <c r="E6" s="12" t="s">
        <v>66</v>
      </c>
      <c r="F6" s="12">
        <v>40.0</v>
      </c>
      <c r="G6" s="12">
        <v>1.0</v>
      </c>
      <c r="H6" s="12" t="s">
        <v>123</v>
      </c>
      <c r="I6" s="12" t="s">
        <v>124</v>
      </c>
      <c r="J6" s="12" t="s">
        <v>125</v>
      </c>
      <c r="K6" s="12">
        <v>5.0</v>
      </c>
      <c r="L6" s="12" t="s">
        <v>148</v>
      </c>
      <c r="M6" s="12" t="s">
        <v>150</v>
      </c>
      <c r="N6" s="12">
        <v>40.0</v>
      </c>
      <c r="O6" s="12">
        <v>50.0</v>
      </c>
      <c r="P6" s="12">
        <v>45.0</v>
      </c>
      <c r="Q6" s="12">
        <v>-25.9</v>
      </c>
      <c r="R6" s="12">
        <v>0.22</v>
      </c>
      <c r="S6" s="12">
        <v>0.02</v>
      </c>
      <c r="T6" s="12">
        <v>0.17139999999999977</v>
      </c>
      <c r="U6" s="12">
        <v>0.08984170248453703</v>
      </c>
      <c r="V6" s="12">
        <v>111.81440361677569</v>
      </c>
      <c r="W6" s="12">
        <v>10.0</v>
      </c>
      <c r="X6" s="12">
        <v>114.009182796937</v>
      </c>
      <c r="Y6" s="12">
        <v>0.0</v>
      </c>
      <c r="Z6" s="12">
        <v>0.0</v>
      </c>
      <c r="AA6" s="12">
        <v>0.0</v>
      </c>
      <c r="AB6" s="12">
        <v>40.0</v>
      </c>
      <c r="AC6" s="12">
        <v>50.0</v>
      </c>
      <c r="AD6" s="12">
        <v>100.0</v>
      </c>
      <c r="AE6" s="12">
        <v>50.0</v>
      </c>
      <c r="AF6" s="12">
        <v>0.980749101727442</v>
      </c>
      <c r="AG6" s="12">
        <v>2.1576480238003723</v>
      </c>
      <c r="AH6" s="12" t="s">
        <v>66</v>
      </c>
      <c r="AI6" s="12" t="s">
        <v>45</v>
      </c>
      <c r="AJ6" s="12" t="s">
        <v>134</v>
      </c>
      <c r="AK6" s="12">
        <v>18.980432213524523</v>
      </c>
      <c r="AL6" s="12" t="s">
        <v>135</v>
      </c>
      <c r="AM6" s="12"/>
    </row>
    <row r="7">
      <c r="A7" s="12" t="s">
        <v>120</v>
      </c>
      <c r="B7" s="12">
        <v>6.0</v>
      </c>
      <c r="C7" s="12">
        <v>1.0</v>
      </c>
      <c r="D7" s="12" t="s">
        <v>122</v>
      </c>
      <c r="E7" s="12" t="s">
        <v>66</v>
      </c>
      <c r="F7" s="12">
        <v>40.0</v>
      </c>
      <c r="G7" s="12">
        <v>1.0</v>
      </c>
      <c r="H7" s="12" t="s">
        <v>123</v>
      </c>
      <c r="I7" s="12" t="s">
        <v>124</v>
      </c>
      <c r="J7" s="12" t="s">
        <v>125</v>
      </c>
      <c r="K7" s="12">
        <v>6.0</v>
      </c>
      <c r="L7" s="12" t="s">
        <v>151</v>
      </c>
      <c r="M7" s="12" t="s">
        <v>168</v>
      </c>
      <c r="N7" s="12">
        <v>50.0</v>
      </c>
      <c r="O7" s="12">
        <v>100.0</v>
      </c>
      <c r="P7" s="12">
        <v>75.0</v>
      </c>
      <c r="Q7" s="12">
        <v>-122.8</v>
      </c>
      <c r="R7" s="12">
        <v>0.08</v>
      </c>
      <c r="S7" s="12">
        <v>0.01</v>
      </c>
      <c r="T7" s="12">
        <v>0.1987000000000001</v>
      </c>
      <c r="U7" s="12">
        <v>0.10204396055875109</v>
      </c>
      <c r="V7" s="12">
        <v>618.6595311990307</v>
      </c>
      <c r="W7" s="12">
        <v>50.0</v>
      </c>
      <c r="X7" s="12">
        <v>570.045913984685</v>
      </c>
      <c r="Y7" s="12">
        <v>0.0</v>
      </c>
      <c r="Z7" s="12">
        <v>0.0</v>
      </c>
      <c r="AA7" s="12">
        <v>0.0</v>
      </c>
      <c r="AB7" s="12">
        <v>50.0</v>
      </c>
      <c r="AC7" s="12">
        <v>100.0</v>
      </c>
      <c r="AD7" s="12">
        <v>100.0</v>
      </c>
      <c r="AE7" s="12">
        <v>100.0</v>
      </c>
      <c r="AF7" s="12">
        <v>1.085280178353584</v>
      </c>
      <c r="AG7" s="12">
        <v>4.341120713414336</v>
      </c>
      <c r="AH7" s="12" t="s">
        <v>66</v>
      </c>
      <c r="AI7" s="12" t="s">
        <v>45</v>
      </c>
      <c r="AJ7" s="12" t="s">
        <v>134</v>
      </c>
      <c r="AK7" s="12">
        <v>23.321552926938857</v>
      </c>
      <c r="AL7" s="12" t="s">
        <v>135</v>
      </c>
      <c r="AM7" s="12"/>
    </row>
    <row r="8">
      <c r="A8" s="12" t="s">
        <v>120</v>
      </c>
      <c r="B8" s="12">
        <v>13.0</v>
      </c>
      <c r="C8" s="12">
        <v>1.0</v>
      </c>
      <c r="D8" s="12" t="s">
        <v>122</v>
      </c>
      <c r="E8" s="12" t="s">
        <v>66</v>
      </c>
      <c r="F8" s="12">
        <v>40.0</v>
      </c>
      <c r="G8" s="12">
        <v>3.0</v>
      </c>
      <c r="H8" s="12" t="s">
        <v>184</v>
      </c>
      <c r="I8" s="12" t="s">
        <v>124</v>
      </c>
      <c r="J8" s="12" t="s">
        <v>125</v>
      </c>
      <c r="K8" s="12">
        <v>1.0</v>
      </c>
      <c r="L8" s="12" t="s">
        <v>67</v>
      </c>
      <c r="M8" s="12" t="s">
        <v>187</v>
      </c>
      <c r="N8" s="12">
        <v>0.0</v>
      </c>
      <c r="O8" s="12">
        <v>10.0</v>
      </c>
      <c r="P8" s="12">
        <v>5.0</v>
      </c>
      <c r="Q8" s="12">
        <v>-50.1</v>
      </c>
      <c r="R8" s="12">
        <v>0.38</v>
      </c>
      <c r="S8" s="12">
        <v>0.03</v>
      </c>
      <c r="T8" s="12">
        <v>0.26800000000000024</v>
      </c>
      <c r="U8" s="12">
        <v>0.14771537231990312</v>
      </c>
      <c r="V8" s="12">
        <v>96.67902223502855</v>
      </c>
      <c r="W8" s="12">
        <v>10.0</v>
      </c>
      <c r="X8" s="12">
        <v>114.009182796937</v>
      </c>
      <c r="Y8" s="12">
        <v>0.0020000000000000018</v>
      </c>
      <c r="Z8" s="12">
        <v>0.0020000000000000018</v>
      </c>
      <c r="AA8" s="12">
        <v>0.0</v>
      </c>
      <c r="AB8" s="12">
        <v>0.0</v>
      </c>
      <c r="AC8" s="12">
        <v>10.0</v>
      </c>
      <c r="AD8" s="12">
        <v>100.0</v>
      </c>
      <c r="AE8" s="12">
        <v>10.0</v>
      </c>
      <c r="AF8" s="12">
        <v>0.8479932919721442</v>
      </c>
      <c r="AG8" s="12">
        <v>3.222374509494148</v>
      </c>
      <c r="AH8" s="12" t="s">
        <v>66</v>
      </c>
      <c r="AI8" s="12" t="s">
        <v>45</v>
      </c>
      <c r="AJ8" s="12" t="s">
        <v>199</v>
      </c>
      <c r="AK8" s="12">
        <v>3.222374509494148</v>
      </c>
      <c r="AL8" s="12" t="s">
        <v>135</v>
      </c>
      <c r="AM8" s="12"/>
    </row>
    <row r="9">
      <c r="A9" s="12" t="s">
        <v>120</v>
      </c>
      <c r="B9" s="12">
        <v>14.0</v>
      </c>
      <c r="C9" s="12">
        <v>1.0</v>
      </c>
      <c r="D9" s="12" t="s">
        <v>122</v>
      </c>
      <c r="E9" s="12" t="s">
        <v>66</v>
      </c>
      <c r="F9" s="12">
        <v>40.0</v>
      </c>
      <c r="G9" s="12">
        <v>3.0</v>
      </c>
      <c r="H9" s="12" t="s">
        <v>184</v>
      </c>
      <c r="I9" s="12" t="s">
        <v>124</v>
      </c>
      <c r="J9" s="12" t="s">
        <v>125</v>
      </c>
      <c r="K9" s="12">
        <v>2.0</v>
      </c>
      <c r="L9" s="12" t="s">
        <v>138</v>
      </c>
      <c r="M9" s="12" t="s">
        <v>209</v>
      </c>
      <c r="N9" s="12">
        <v>10.0</v>
      </c>
      <c r="O9" s="12">
        <v>20.0</v>
      </c>
      <c r="P9" s="12">
        <v>15.0</v>
      </c>
      <c r="Q9" s="12">
        <v>-31.6</v>
      </c>
      <c r="R9" s="12">
        <v>0.31</v>
      </c>
      <c r="S9" s="12">
        <v>0.03</v>
      </c>
      <c r="T9" s="12">
        <v>0.25050000000000017</v>
      </c>
      <c r="U9" s="12">
        <v>0.14009283597114264</v>
      </c>
      <c r="V9" s="12">
        <v>113.04342588050622</v>
      </c>
      <c r="W9" s="12">
        <v>10.0</v>
      </c>
      <c r="X9" s="12">
        <v>114.009182796937</v>
      </c>
      <c r="Y9" s="12">
        <v>0.0</v>
      </c>
      <c r="Z9" s="12">
        <v>0.0022</v>
      </c>
      <c r="AA9" s="12">
        <v>0.0</v>
      </c>
      <c r="AB9" s="12">
        <v>10.0</v>
      </c>
      <c r="AC9" s="12">
        <v>20.0</v>
      </c>
      <c r="AD9" s="12">
        <v>100.0</v>
      </c>
      <c r="AE9" s="12">
        <v>20.0</v>
      </c>
      <c r="AF9" s="12">
        <v>0.9915291304372307</v>
      </c>
      <c r="AG9" s="12">
        <v>3.073740304355415</v>
      </c>
      <c r="AH9" s="12" t="s">
        <v>66</v>
      </c>
      <c r="AI9" s="12" t="s">
        <v>45</v>
      </c>
      <c r="AJ9" s="12" t="s">
        <v>199</v>
      </c>
      <c r="AK9" s="12">
        <v>6.296114813849563</v>
      </c>
      <c r="AL9" s="12" t="s">
        <v>135</v>
      </c>
      <c r="AM9" s="12"/>
    </row>
    <row r="10">
      <c r="A10" s="12" t="s">
        <v>120</v>
      </c>
      <c r="B10" s="12">
        <v>15.0</v>
      </c>
      <c r="C10" s="12">
        <v>1.0</v>
      </c>
      <c r="D10" s="12" t="s">
        <v>122</v>
      </c>
      <c r="E10" s="12" t="s">
        <v>66</v>
      </c>
      <c r="F10" s="12">
        <v>40.0</v>
      </c>
      <c r="G10" s="12">
        <v>3.0</v>
      </c>
      <c r="H10" s="12" t="s">
        <v>184</v>
      </c>
      <c r="I10" s="12" t="s">
        <v>124</v>
      </c>
      <c r="J10" s="12" t="s">
        <v>125</v>
      </c>
      <c r="K10" s="12">
        <v>3.0</v>
      </c>
      <c r="L10" s="12" t="s">
        <v>142</v>
      </c>
      <c r="M10" s="12" t="s">
        <v>224</v>
      </c>
      <c r="N10" s="12">
        <v>20.0</v>
      </c>
      <c r="O10" s="12">
        <v>30.0</v>
      </c>
      <c r="P10" s="12">
        <v>25.0</v>
      </c>
      <c r="Q10" s="12">
        <v>-37.5</v>
      </c>
      <c r="R10" s="12">
        <v>0.25</v>
      </c>
      <c r="S10" s="12">
        <v>0.03</v>
      </c>
      <c r="T10" s="12">
        <v>0.2583000000000002</v>
      </c>
      <c r="U10" s="12">
        <v>0.12994265016601278</v>
      </c>
      <c r="V10" s="12">
        <v>93.20827033524775</v>
      </c>
      <c r="W10" s="12">
        <v>10.0</v>
      </c>
      <c r="X10" s="12">
        <v>114.009182796937</v>
      </c>
      <c r="Y10" s="12">
        <v>0.0</v>
      </c>
      <c r="Z10" s="12">
        <v>0.0019</v>
      </c>
      <c r="AA10" s="12">
        <v>0.0</v>
      </c>
      <c r="AB10" s="12">
        <v>20.0</v>
      </c>
      <c r="AC10" s="12">
        <v>30.0</v>
      </c>
      <c r="AD10" s="12">
        <v>100.0</v>
      </c>
      <c r="AE10" s="12">
        <v>30.0</v>
      </c>
      <c r="AF10" s="12">
        <v>0.8175505520573901</v>
      </c>
      <c r="AG10" s="12">
        <v>2.0438763801434754</v>
      </c>
      <c r="AH10" s="12" t="s">
        <v>66</v>
      </c>
      <c r="AI10" s="12" t="s">
        <v>45</v>
      </c>
      <c r="AJ10" s="12" t="s">
        <v>199</v>
      </c>
      <c r="AK10" s="12">
        <v>8.339991193993038</v>
      </c>
      <c r="AL10" s="12" t="s">
        <v>135</v>
      </c>
      <c r="AM10" s="12"/>
    </row>
    <row r="11">
      <c r="A11" s="12" t="s">
        <v>120</v>
      </c>
      <c r="B11" s="12">
        <v>16.0</v>
      </c>
      <c r="C11" s="12">
        <v>1.0</v>
      </c>
      <c r="D11" s="12" t="s">
        <v>122</v>
      </c>
      <c r="E11" s="12" t="s">
        <v>66</v>
      </c>
      <c r="F11" s="12">
        <v>40.0</v>
      </c>
      <c r="G11" s="12">
        <v>3.0</v>
      </c>
      <c r="H11" s="12" t="s">
        <v>184</v>
      </c>
      <c r="I11" s="12" t="s">
        <v>124</v>
      </c>
      <c r="J11" s="12" t="s">
        <v>125</v>
      </c>
      <c r="K11" s="12">
        <v>4.0</v>
      </c>
      <c r="L11" s="12" t="s">
        <v>145</v>
      </c>
      <c r="M11" s="12" t="s">
        <v>238</v>
      </c>
      <c r="N11" s="12">
        <v>30.0</v>
      </c>
      <c r="O11" s="12">
        <v>40.0</v>
      </c>
      <c r="P11" s="12">
        <v>35.0</v>
      </c>
      <c r="Q11" s="12">
        <v>-87.3</v>
      </c>
      <c r="R11" s="12">
        <v>0.15</v>
      </c>
      <c r="S11" s="12">
        <v>0.02</v>
      </c>
      <c r="T11" s="12">
        <v>0.1924999999999999</v>
      </c>
      <c r="U11" s="12">
        <v>0.09705066801109144</v>
      </c>
      <c r="V11" s="12">
        <v>115.48235983455884</v>
      </c>
      <c r="W11" s="12">
        <v>10.0</v>
      </c>
      <c r="X11" s="12">
        <v>114.009182796937</v>
      </c>
      <c r="Y11" s="12">
        <v>0.0</v>
      </c>
      <c r="Z11" s="12">
        <v>0.0017</v>
      </c>
      <c r="AA11" s="12">
        <v>0.0</v>
      </c>
      <c r="AB11" s="12">
        <v>30.0</v>
      </c>
      <c r="AC11" s="12">
        <v>40.0</v>
      </c>
      <c r="AD11" s="12">
        <v>100.0</v>
      </c>
      <c r="AE11" s="12">
        <v>40.0</v>
      </c>
      <c r="AF11" s="12">
        <v>1.012921564750146</v>
      </c>
      <c r="AG11" s="12">
        <v>1.5193823471252188</v>
      </c>
      <c r="AH11" s="12" t="s">
        <v>66</v>
      </c>
      <c r="AI11" s="12" t="s">
        <v>45</v>
      </c>
      <c r="AJ11" s="12" t="s">
        <v>199</v>
      </c>
      <c r="AK11" s="12">
        <v>9.859373541118257</v>
      </c>
      <c r="AL11" s="12" t="s">
        <v>135</v>
      </c>
      <c r="AM11" s="12"/>
    </row>
    <row r="12">
      <c r="A12" s="12" t="s">
        <v>120</v>
      </c>
      <c r="B12" s="12">
        <v>17.0</v>
      </c>
      <c r="C12" s="12">
        <v>1.0</v>
      </c>
      <c r="D12" s="12" t="s">
        <v>122</v>
      </c>
      <c r="E12" s="12" t="s">
        <v>66</v>
      </c>
      <c r="F12" s="12">
        <v>40.0</v>
      </c>
      <c r="G12" s="12">
        <v>3.0</v>
      </c>
      <c r="H12" s="12" t="s">
        <v>184</v>
      </c>
      <c r="I12" s="12" t="s">
        <v>124</v>
      </c>
      <c r="J12" s="12" t="s">
        <v>125</v>
      </c>
      <c r="K12" s="12">
        <v>5.0</v>
      </c>
      <c r="L12" s="12" t="s">
        <v>148</v>
      </c>
      <c r="M12" s="12" t="s">
        <v>252</v>
      </c>
      <c r="N12" s="12">
        <v>40.0</v>
      </c>
      <c r="O12" s="12">
        <v>50.0</v>
      </c>
      <c r="P12" s="12">
        <v>45.0</v>
      </c>
      <c r="Q12" s="12">
        <v>-192.6</v>
      </c>
      <c r="R12" s="12">
        <v>0.06</v>
      </c>
      <c r="S12" s="12">
        <v>0.01</v>
      </c>
      <c r="T12" s="12">
        <v>0.15569999999999995</v>
      </c>
      <c r="U12" s="12">
        <v>0.08288086873203447</v>
      </c>
      <c r="V12" s="12">
        <v>127.72411443739863</v>
      </c>
      <c r="W12" s="12">
        <v>10.0</v>
      </c>
      <c r="X12" s="12">
        <v>114.009182796937</v>
      </c>
      <c r="Y12" s="12">
        <v>0.0</v>
      </c>
      <c r="Z12" s="12">
        <v>0.0</v>
      </c>
      <c r="AA12" s="12">
        <v>0.0</v>
      </c>
      <c r="AB12" s="12">
        <v>40.0</v>
      </c>
      <c r="AC12" s="12">
        <v>50.0</v>
      </c>
      <c r="AD12" s="12">
        <v>100.0</v>
      </c>
      <c r="AE12" s="12">
        <v>50.0</v>
      </c>
      <c r="AF12" s="12">
        <v>1.120296727895063</v>
      </c>
      <c r="AG12" s="12">
        <v>0.6721780367370378</v>
      </c>
      <c r="AH12" s="12" t="s">
        <v>66</v>
      </c>
      <c r="AI12" s="12" t="s">
        <v>45</v>
      </c>
      <c r="AJ12" s="12" t="s">
        <v>199</v>
      </c>
      <c r="AK12" s="12">
        <v>10.531551577855295</v>
      </c>
      <c r="AL12" s="12" t="s">
        <v>135</v>
      </c>
      <c r="AM12" s="12"/>
    </row>
    <row r="13">
      <c r="A13" s="12" t="s">
        <v>120</v>
      </c>
      <c r="B13" s="12">
        <v>18.0</v>
      </c>
      <c r="C13" s="12">
        <v>1.0</v>
      </c>
      <c r="D13" s="12" t="s">
        <v>122</v>
      </c>
      <c r="E13" s="12" t="s">
        <v>66</v>
      </c>
      <c r="F13" s="12">
        <v>40.0</v>
      </c>
      <c r="G13" s="12">
        <v>3.0</v>
      </c>
      <c r="H13" s="12" t="s">
        <v>184</v>
      </c>
      <c r="I13" s="12" t="s">
        <v>124</v>
      </c>
      <c r="J13" s="12" t="s">
        <v>125</v>
      </c>
      <c r="K13" s="12">
        <v>6.0</v>
      </c>
      <c r="L13" s="12" t="s">
        <v>151</v>
      </c>
      <c r="M13" s="12" t="s">
        <v>255</v>
      </c>
      <c r="N13" s="12">
        <v>50.0</v>
      </c>
      <c r="O13" s="12">
        <v>100.0</v>
      </c>
      <c r="P13" s="12">
        <v>75.0</v>
      </c>
      <c r="Q13" s="12">
        <v>-256.6</v>
      </c>
      <c r="R13" s="12">
        <v>0.22</v>
      </c>
      <c r="S13" s="12">
        <v>0.03</v>
      </c>
      <c r="T13" s="12">
        <v>0.1751999999999998</v>
      </c>
      <c r="U13" s="12">
        <v>0.0871295006962402</v>
      </c>
      <c r="V13" s="12">
        <v>524.1049935956084</v>
      </c>
      <c r="W13" s="12">
        <v>50.0</v>
      </c>
      <c r="X13" s="12">
        <v>570.045913984685</v>
      </c>
      <c r="Y13" s="12">
        <v>0.0051000000000001044</v>
      </c>
      <c r="Z13" s="12">
        <v>0.0</v>
      </c>
      <c r="AA13" s="12">
        <v>0.0</v>
      </c>
      <c r="AB13" s="12">
        <v>50.0</v>
      </c>
      <c r="AC13" s="12">
        <v>100.0</v>
      </c>
      <c r="AD13" s="12">
        <v>100.0</v>
      </c>
      <c r="AE13" s="12">
        <v>100.0</v>
      </c>
      <c r="AF13" s="12">
        <v>0.9194083857773064</v>
      </c>
      <c r="AG13" s="12">
        <v>10.11349224355037</v>
      </c>
      <c r="AH13" s="12" t="s">
        <v>66</v>
      </c>
      <c r="AI13" s="12" t="s">
        <v>45</v>
      </c>
      <c r="AJ13" s="12" t="s">
        <v>199</v>
      </c>
      <c r="AK13" s="12">
        <v>20.645043821405665</v>
      </c>
      <c r="AL13" s="12" t="s">
        <v>135</v>
      </c>
      <c r="AM13" s="12"/>
    </row>
    <row r="14">
      <c r="A14" s="12" t="s">
        <v>120</v>
      </c>
      <c r="B14" s="12">
        <v>25.0</v>
      </c>
      <c r="C14" s="12">
        <v>1.0</v>
      </c>
      <c r="D14" s="12" t="s">
        <v>122</v>
      </c>
      <c r="E14" s="12" t="s">
        <v>66</v>
      </c>
      <c r="F14" s="12">
        <v>40.0</v>
      </c>
      <c r="G14" s="12">
        <v>5.0</v>
      </c>
      <c r="H14" s="12" t="s">
        <v>259</v>
      </c>
      <c r="I14" s="12" t="s">
        <v>124</v>
      </c>
      <c r="J14" s="12" t="s">
        <v>125</v>
      </c>
      <c r="K14" s="12">
        <v>1.0</v>
      </c>
      <c r="L14" s="12" t="s">
        <v>67</v>
      </c>
      <c r="M14" s="12" t="s">
        <v>263</v>
      </c>
      <c r="N14" s="12">
        <v>0.0</v>
      </c>
      <c r="O14" s="12">
        <v>10.0</v>
      </c>
      <c r="P14" s="12">
        <v>5.0</v>
      </c>
      <c r="Q14" s="12">
        <v>-44.2</v>
      </c>
      <c r="R14" s="12">
        <v>0.26</v>
      </c>
      <c r="S14" s="12">
        <v>0.03</v>
      </c>
      <c r="T14" s="12">
        <v>0.23649999999999993</v>
      </c>
      <c r="U14" s="12">
        <v>0.10481297642262007</v>
      </c>
      <c r="V14" s="12">
        <v>123.55032291708453</v>
      </c>
      <c r="W14" s="12">
        <v>10.0</v>
      </c>
      <c r="X14" s="12">
        <v>114.009182796937</v>
      </c>
      <c r="Y14" s="12">
        <v>0.0018000000000000238</v>
      </c>
      <c r="Z14" s="12">
        <v>0.0018000000000000238</v>
      </c>
      <c r="AA14" s="12">
        <v>0.0</v>
      </c>
      <c r="AB14" s="12">
        <v>0.0</v>
      </c>
      <c r="AC14" s="12">
        <v>10.0</v>
      </c>
      <c r="AD14" s="12">
        <v>100.0</v>
      </c>
      <c r="AE14" s="12">
        <v>10.0</v>
      </c>
      <c r="AF14" s="12">
        <v>1.0836874704833326</v>
      </c>
      <c r="AG14" s="12">
        <v>2.817587423256665</v>
      </c>
      <c r="AH14" s="12" t="s">
        <v>66</v>
      </c>
      <c r="AI14" s="12" t="s">
        <v>45</v>
      </c>
      <c r="AJ14" s="12" t="s">
        <v>273</v>
      </c>
      <c r="AK14" s="12">
        <v>2.817587423256665</v>
      </c>
      <c r="AL14" s="12" t="s">
        <v>135</v>
      </c>
      <c r="AM14" s="12"/>
    </row>
    <row r="15">
      <c r="A15" s="12" t="s">
        <v>120</v>
      </c>
      <c r="B15" s="12">
        <v>26.0</v>
      </c>
      <c r="C15" s="12">
        <v>1.0</v>
      </c>
      <c r="D15" s="12" t="s">
        <v>122</v>
      </c>
      <c r="E15" s="12" t="s">
        <v>66</v>
      </c>
      <c r="F15" s="12">
        <v>40.0</v>
      </c>
      <c r="G15" s="12">
        <v>5.0</v>
      </c>
      <c r="H15" s="12" t="s">
        <v>259</v>
      </c>
      <c r="I15" s="12" t="s">
        <v>124</v>
      </c>
      <c r="J15" s="12" t="s">
        <v>125</v>
      </c>
      <c r="K15" s="12">
        <v>2.0</v>
      </c>
      <c r="L15" s="12" t="s">
        <v>138</v>
      </c>
      <c r="M15" s="12" t="s">
        <v>281</v>
      </c>
      <c r="N15" s="12">
        <v>10.0</v>
      </c>
      <c r="O15" s="12">
        <v>20.0</v>
      </c>
      <c r="P15" s="12">
        <v>15.0</v>
      </c>
      <c r="Q15" s="12">
        <v>-31.0</v>
      </c>
      <c r="R15" s="12">
        <v>0.28</v>
      </c>
      <c r="S15" s="12">
        <v>0.03</v>
      </c>
      <c r="T15" s="12">
        <v>0.22490000000000032</v>
      </c>
      <c r="U15" s="12">
        <v>0.10125613434784582</v>
      </c>
      <c r="V15" s="12">
        <v>113.45226246933768</v>
      </c>
      <c r="W15" s="12">
        <v>10.0</v>
      </c>
      <c r="X15" s="12">
        <v>114.009182796937</v>
      </c>
      <c r="Y15" s="12">
        <v>0.0</v>
      </c>
      <c r="Z15" s="12">
        <v>0.0021</v>
      </c>
      <c r="AA15" s="12">
        <v>0.0</v>
      </c>
      <c r="AB15" s="12">
        <v>10.0</v>
      </c>
      <c r="AC15" s="12">
        <v>20.0</v>
      </c>
      <c r="AD15" s="12">
        <v>100.0</v>
      </c>
      <c r="AE15" s="12">
        <v>20.0</v>
      </c>
      <c r="AF15" s="12">
        <v>0.9951151274490647</v>
      </c>
      <c r="AG15" s="12">
        <v>2.786322356857381</v>
      </c>
      <c r="AH15" s="12" t="s">
        <v>66</v>
      </c>
      <c r="AI15" s="12" t="s">
        <v>45</v>
      </c>
      <c r="AJ15" s="12" t="s">
        <v>273</v>
      </c>
      <c r="AK15" s="12">
        <v>5.603909780114046</v>
      </c>
      <c r="AL15" s="12" t="s">
        <v>135</v>
      </c>
      <c r="AM15" s="12"/>
    </row>
    <row r="16">
      <c r="A16" s="12" t="s">
        <v>120</v>
      </c>
      <c r="B16" s="12">
        <v>27.0</v>
      </c>
      <c r="C16" s="12">
        <v>1.0</v>
      </c>
      <c r="D16" s="12" t="s">
        <v>122</v>
      </c>
      <c r="E16" s="12" t="s">
        <v>66</v>
      </c>
      <c r="F16" s="12">
        <v>40.0</v>
      </c>
      <c r="G16" s="12">
        <v>5.0</v>
      </c>
      <c r="H16" s="12" t="s">
        <v>259</v>
      </c>
      <c r="I16" s="12" t="s">
        <v>124</v>
      </c>
      <c r="J16" s="12" t="s">
        <v>125</v>
      </c>
      <c r="K16" s="12">
        <v>3.0</v>
      </c>
      <c r="L16" s="12" t="s">
        <v>142</v>
      </c>
      <c r="M16" s="12" t="s">
        <v>295</v>
      </c>
      <c r="N16" s="12">
        <v>20.0</v>
      </c>
      <c r="O16" s="12">
        <v>30.0</v>
      </c>
      <c r="P16" s="12">
        <v>25.0</v>
      </c>
      <c r="Q16" s="12">
        <v>-39.2</v>
      </c>
      <c r="R16" s="12">
        <v>0.38</v>
      </c>
      <c r="S16" s="12">
        <v>0.04</v>
      </c>
      <c r="T16" s="12">
        <v>0.24200000000000044</v>
      </c>
      <c r="U16" s="12">
        <v>0.12267450702083461</v>
      </c>
      <c r="V16" s="12">
        <v>132.87021221835911</v>
      </c>
      <c r="W16" s="12">
        <v>10.0</v>
      </c>
      <c r="X16" s="12">
        <v>114.009182796937</v>
      </c>
      <c r="Y16" s="12">
        <v>0.0</v>
      </c>
      <c r="Z16" s="12">
        <v>0.002</v>
      </c>
      <c r="AA16" s="12">
        <v>0.0</v>
      </c>
      <c r="AB16" s="12">
        <v>20.0</v>
      </c>
      <c r="AC16" s="12">
        <v>30.0</v>
      </c>
      <c r="AD16" s="12">
        <v>100.0</v>
      </c>
      <c r="AE16" s="12">
        <v>30.0</v>
      </c>
      <c r="AF16" s="12">
        <v>1.1654343006301142</v>
      </c>
      <c r="AG16" s="12">
        <v>4.428650342394434</v>
      </c>
      <c r="AH16" s="12" t="s">
        <v>66</v>
      </c>
      <c r="AI16" s="12" t="s">
        <v>45</v>
      </c>
      <c r="AJ16" s="12" t="s">
        <v>273</v>
      </c>
      <c r="AK16" s="12">
        <v>10.03256012250848</v>
      </c>
      <c r="AL16" s="12" t="s">
        <v>135</v>
      </c>
      <c r="AM16" s="12"/>
    </row>
    <row r="17">
      <c r="A17" s="12" t="s">
        <v>120</v>
      </c>
      <c r="B17" s="12">
        <v>28.0</v>
      </c>
      <c r="C17" s="12">
        <v>1.0</v>
      </c>
      <c r="D17" s="12" t="s">
        <v>122</v>
      </c>
      <c r="E17" s="12" t="s">
        <v>66</v>
      </c>
      <c r="F17" s="12">
        <v>40.0</v>
      </c>
      <c r="G17" s="12">
        <v>5.0</v>
      </c>
      <c r="H17" s="12" t="s">
        <v>259</v>
      </c>
      <c r="I17" s="12" t="s">
        <v>124</v>
      </c>
      <c r="J17" s="12" t="s">
        <v>125</v>
      </c>
      <c r="K17" s="12">
        <v>4.0</v>
      </c>
      <c r="L17" s="12" t="s">
        <v>145</v>
      </c>
      <c r="M17" s="12" t="s">
        <v>319</v>
      </c>
      <c r="N17" s="12">
        <v>30.0</v>
      </c>
      <c r="O17" s="12">
        <v>40.0</v>
      </c>
      <c r="P17" s="12">
        <v>35.0</v>
      </c>
      <c r="Q17" s="12">
        <v>-47.3</v>
      </c>
      <c r="R17" s="12">
        <v>0.21</v>
      </c>
      <c r="S17" s="12">
        <v>0.03</v>
      </c>
      <c r="T17" s="12">
        <v>0.18699999999999983</v>
      </c>
      <c r="U17" s="12">
        <v>0.09208647264490069</v>
      </c>
      <c r="V17" s="12">
        <v>117.38997159219011</v>
      </c>
      <c r="W17" s="12">
        <v>10.0</v>
      </c>
      <c r="X17" s="12">
        <v>114.009182796937</v>
      </c>
      <c r="Y17" s="12">
        <v>0.0020999999999999908</v>
      </c>
      <c r="Z17" s="12">
        <v>0.0019</v>
      </c>
      <c r="AA17" s="12">
        <v>0.0</v>
      </c>
      <c r="AB17" s="12">
        <v>30.0</v>
      </c>
      <c r="AC17" s="12">
        <v>40.0</v>
      </c>
      <c r="AD17" s="12">
        <v>100.0</v>
      </c>
      <c r="AE17" s="12">
        <v>40.0</v>
      </c>
      <c r="AF17" s="12">
        <v>1.0296536534366243</v>
      </c>
      <c r="AG17" s="12">
        <v>2.1622726722169108</v>
      </c>
      <c r="AH17" s="12" t="s">
        <v>66</v>
      </c>
      <c r="AI17" s="12" t="s">
        <v>45</v>
      </c>
      <c r="AJ17" s="12" t="s">
        <v>273</v>
      </c>
      <c r="AK17" s="12">
        <v>12.194832794725391</v>
      </c>
      <c r="AL17" s="12" t="s">
        <v>135</v>
      </c>
      <c r="AM17" s="12"/>
    </row>
    <row r="18">
      <c r="A18" s="12" t="s">
        <v>120</v>
      </c>
      <c r="B18" s="12">
        <v>29.0</v>
      </c>
      <c r="C18" s="12">
        <v>1.0</v>
      </c>
      <c r="D18" s="12" t="s">
        <v>122</v>
      </c>
      <c r="E18" s="12" t="s">
        <v>66</v>
      </c>
      <c r="F18" s="12">
        <v>40.0</v>
      </c>
      <c r="G18" s="12">
        <v>5.0</v>
      </c>
      <c r="H18" s="12" t="s">
        <v>259</v>
      </c>
      <c r="I18" s="12" t="s">
        <v>124</v>
      </c>
      <c r="J18" s="12" t="s">
        <v>125</v>
      </c>
      <c r="K18" s="12">
        <v>5.0</v>
      </c>
      <c r="L18" s="12" t="s">
        <v>148</v>
      </c>
      <c r="M18" s="12" t="s">
        <v>345</v>
      </c>
      <c r="N18" s="12">
        <v>40.0</v>
      </c>
      <c r="O18" s="12">
        <v>50.0</v>
      </c>
      <c r="P18" s="12">
        <v>45.0</v>
      </c>
      <c r="Q18" s="12">
        <v>-113.8</v>
      </c>
      <c r="R18" s="12">
        <v>0.09</v>
      </c>
      <c r="S18" s="12">
        <v>0.01</v>
      </c>
      <c r="T18" s="12">
        <v>0.30539999999999967</v>
      </c>
      <c r="U18" s="12">
        <v>0.12045911726422896</v>
      </c>
      <c r="V18" s="12">
        <v>125.39502587390434</v>
      </c>
      <c r="W18" s="12">
        <v>10.0</v>
      </c>
      <c r="X18" s="12">
        <v>114.009182796937</v>
      </c>
      <c r="Y18" s="12">
        <v>0.0</v>
      </c>
      <c r="Z18" s="12">
        <v>0.0</v>
      </c>
      <c r="AA18" s="12">
        <v>0.0</v>
      </c>
      <c r="AB18" s="12">
        <v>40.0</v>
      </c>
      <c r="AC18" s="12">
        <v>50.0</v>
      </c>
      <c r="AD18" s="12">
        <v>100.0</v>
      </c>
      <c r="AE18" s="12">
        <v>50.0</v>
      </c>
      <c r="AF18" s="12">
        <v>1.0998677720306689</v>
      </c>
      <c r="AG18" s="12">
        <v>0.989880994827602</v>
      </c>
      <c r="AH18" s="12" t="s">
        <v>66</v>
      </c>
      <c r="AI18" s="12" t="s">
        <v>45</v>
      </c>
      <c r="AJ18" s="12" t="s">
        <v>273</v>
      </c>
      <c r="AK18" s="12">
        <v>13.184713789552994</v>
      </c>
      <c r="AL18" s="12" t="s">
        <v>135</v>
      </c>
      <c r="AM18" s="12"/>
    </row>
    <row r="19">
      <c r="A19" s="12" t="s">
        <v>120</v>
      </c>
      <c r="B19" s="12">
        <v>30.0</v>
      </c>
      <c r="C19" s="12">
        <v>1.0</v>
      </c>
      <c r="D19" s="12" t="s">
        <v>122</v>
      </c>
      <c r="E19" s="12" t="s">
        <v>66</v>
      </c>
      <c r="F19" s="12">
        <v>40.0</v>
      </c>
      <c r="G19" s="12">
        <v>5.0</v>
      </c>
      <c r="H19" s="12" t="s">
        <v>259</v>
      </c>
      <c r="I19" s="12" t="s">
        <v>124</v>
      </c>
      <c r="J19" s="12" t="s">
        <v>125</v>
      </c>
      <c r="K19" s="12">
        <v>6.0</v>
      </c>
      <c r="L19" s="12" t="s">
        <v>151</v>
      </c>
      <c r="M19" s="12" t="s">
        <v>350</v>
      </c>
      <c r="N19" s="12">
        <v>50.0</v>
      </c>
      <c r="O19" s="12">
        <v>100.0</v>
      </c>
      <c r="P19" s="12">
        <v>75.0</v>
      </c>
      <c r="Q19" s="12">
        <v>-200.0</v>
      </c>
      <c r="R19" s="12">
        <v>0.06</v>
      </c>
      <c r="S19" s="12">
        <v>0.01</v>
      </c>
      <c r="T19" s="12">
        <v>0.1687000000000003</v>
      </c>
      <c r="U19" s="12">
        <v>0.08207648146346226</v>
      </c>
      <c r="V19" s="12">
        <v>618.1263630232453</v>
      </c>
      <c r="W19" s="12">
        <v>50.0</v>
      </c>
      <c r="X19" s="12">
        <v>570.045913984685</v>
      </c>
      <c r="Y19" s="12">
        <v>0.0019000000000000128</v>
      </c>
      <c r="Z19" s="12">
        <v>0.0</v>
      </c>
      <c r="AA19" s="12">
        <v>0.0</v>
      </c>
      <c r="AB19" s="12">
        <v>50.0</v>
      </c>
      <c r="AC19" s="12">
        <v>100.0</v>
      </c>
      <c r="AD19" s="12">
        <v>100.0</v>
      </c>
      <c r="AE19" s="12">
        <v>100.0</v>
      </c>
      <c r="AF19" s="12">
        <v>1.0843448709288566</v>
      </c>
      <c r="AG19" s="12">
        <v>3.25303461278657</v>
      </c>
      <c r="AH19" s="12" t="s">
        <v>66</v>
      </c>
      <c r="AI19" s="12" t="s">
        <v>45</v>
      </c>
      <c r="AJ19" s="12" t="s">
        <v>273</v>
      </c>
      <c r="AK19" s="12">
        <v>16.437748402339565</v>
      </c>
      <c r="AL19" s="12" t="s">
        <v>135</v>
      </c>
      <c r="AM19" s="12"/>
    </row>
    <row r="20">
      <c r="A20" s="12" t="s">
        <v>120</v>
      </c>
      <c r="B20" s="12">
        <v>37.0</v>
      </c>
      <c r="C20" s="12">
        <v>2.0</v>
      </c>
      <c r="D20" s="12" t="s">
        <v>353</v>
      </c>
      <c r="E20" s="12" t="s">
        <v>132</v>
      </c>
      <c r="F20" s="12">
        <v>40.0</v>
      </c>
      <c r="G20" s="12">
        <v>1.0</v>
      </c>
      <c r="H20" s="12" t="s">
        <v>123</v>
      </c>
      <c r="I20" s="12" t="s">
        <v>124</v>
      </c>
      <c r="J20" s="12" t="s">
        <v>125</v>
      </c>
      <c r="K20" s="12">
        <v>1.0</v>
      </c>
      <c r="L20" s="12" t="s">
        <v>67</v>
      </c>
      <c r="M20" s="12" t="s">
        <v>357</v>
      </c>
      <c r="N20" s="12">
        <v>0.0</v>
      </c>
      <c r="O20" s="12">
        <v>10.0</v>
      </c>
      <c r="P20" s="12">
        <v>5.0</v>
      </c>
      <c r="Q20" s="12">
        <v>-20.4</v>
      </c>
      <c r="R20" s="12">
        <v>0.45</v>
      </c>
      <c r="S20" s="12">
        <v>0.05</v>
      </c>
      <c r="T20" s="12">
        <v>0.13359999999999994</v>
      </c>
      <c r="U20" s="12">
        <v>0.0670514429109159</v>
      </c>
      <c r="V20" s="12">
        <v>120.98760641550255</v>
      </c>
      <c r="W20" s="12">
        <v>10.0</v>
      </c>
      <c r="X20" s="12">
        <v>114.009182796937</v>
      </c>
      <c r="Y20" s="12">
        <v>0.005400000000000071</v>
      </c>
      <c r="Z20" s="12">
        <v>0.0122</v>
      </c>
      <c r="AA20" s="12">
        <v>0.0</v>
      </c>
      <c r="AB20" s="12">
        <v>0.0</v>
      </c>
      <c r="AC20" s="12">
        <v>10.0</v>
      </c>
      <c r="AD20" s="12">
        <v>100.0</v>
      </c>
      <c r="AE20" s="12">
        <v>10.0</v>
      </c>
      <c r="AF20" s="12">
        <v>1.061209311806005</v>
      </c>
      <c r="AG20" s="12">
        <v>4.775441903127023</v>
      </c>
      <c r="AH20" s="12" t="s">
        <v>132</v>
      </c>
      <c r="AI20" s="12" t="s">
        <v>45</v>
      </c>
      <c r="AJ20" s="12" t="s">
        <v>366</v>
      </c>
      <c r="AK20" s="12">
        <v>4.775441903127023</v>
      </c>
      <c r="AL20" s="12" t="s">
        <v>135</v>
      </c>
      <c r="AM20" s="12"/>
    </row>
    <row r="21" ht="15.75" customHeight="1">
      <c r="A21" s="12" t="s">
        <v>120</v>
      </c>
      <c r="B21" s="12">
        <v>38.0</v>
      </c>
      <c r="C21" s="12">
        <v>2.0</v>
      </c>
      <c r="D21" s="12" t="s">
        <v>353</v>
      </c>
      <c r="E21" s="12" t="s">
        <v>132</v>
      </c>
      <c r="F21" s="12">
        <v>40.0</v>
      </c>
      <c r="G21" s="12">
        <v>1.0</v>
      </c>
      <c r="H21" s="12" t="s">
        <v>123</v>
      </c>
      <c r="I21" s="12" t="s">
        <v>124</v>
      </c>
      <c r="J21" s="12" t="s">
        <v>125</v>
      </c>
      <c r="K21" s="12">
        <v>2.0</v>
      </c>
      <c r="L21" s="12" t="s">
        <v>138</v>
      </c>
      <c r="M21" s="12" t="s">
        <v>369</v>
      </c>
      <c r="N21" s="12">
        <v>10.0</v>
      </c>
      <c r="O21" s="12">
        <v>20.0</v>
      </c>
      <c r="P21" s="12">
        <v>15.0</v>
      </c>
      <c r="Q21" s="12">
        <v>-14.6</v>
      </c>
      <c r="R21" s="12">
        <v>0.29</v>
      </c>
      <c r="S21" s="12">
        <v>0.03</v>
      </c>
      <c r="T21" s="12">
        <v>0.1452</v>
      </c>
      <c r="U21" s="12">
        <v>0.07697201017811704</v>
      </c>
      <c r="V21" s="12">
        <v>110.40212640283521</v>
      </c>
      <c r="W21" s="12">
        <v>10.0</v>
      </c>
      <c r="X21" s="12">
        <v>114.009182796937</v>
      </c>
      <c r="Y21" s="12">
        <v>0.0</v>
      </c>
      <c r="Z21" s="12">
        <v>0.0109</v>
      </c>
      <c r="AA21" s="12">
        <v>0.0</v>
      </c>
      <c r="AB21" s="12">
        <v>10.0</v>
      </c>
      <c r="AC21" s="12">
        <v>20.0</v>
      </c>
      <c r="AD21" s="12">
        <v>100.0</v>
      </c>
      <c r="AE21" s="12">
        <v>20.0</v>
      </c>
      <c r="AF21" s="12">
        <v>0.9683617029294355</v>
      </c>
      <c r="AG21" s="12">
        <v>2.808248938495362</v>
      </c>
      <c r="AH21" s="12" t="s">
        <v>132</v>
      </c>
      <c r="AI21" s="12" t="s">
        <v>45</v>
      </c>
      <c r="AJ21" s="12" t="s">
        <v>366</v>
      </c>
      <c r="AK21" s="12">
        <v>7.583690841622385</v>
      </c>
      <c r="AL21" s="12" t="s">
        <v>135</v>
      </c>
      <c r="AM21" s="12"/>
    </row>
    <row r="22" ht="15.75" customHeight="1">
      <c r="A22" s="12" t="s">
        <v>120</v>
      </c>
      <c r="B22" s="12">
        <v>39.0</v>
      </c>
      <c r="C22" s="12">
        <v>2.0</v>
      </c>
      <c r="D22" s="12" t="s">
        <v>353</v>
      </c>
      <c r="E22" s="12" t="s">
        <v>132</v>
      </c>
      <c r="F22" s="12">
        <v>40.0</v>
      </c>
      <c r="G22" s="12">
        <v>1.0</v>
      </c>
      <c r="H22" s="12" t="s">
        <v>123</v>
      </c>
      <c r="I22" s="12" t="s">
        <v>124</v>
      </c>
      <c r="J22" s="12" t="s">
        <v>125</v>
      </c>
      <c r="K22" s="12">
        <v>3.0</v>
      </c>
      <c r="L22" s="12" t="s">
        <v>142</v>
      </c>
      <c r="M22" s="12" t="s">
        <v>371</v>
      </c>
      <c r="N22" s="12">
        <v>20.0</v>
      </c>
      <c r="O22" s="12">
        <v>30.0</v>
      </c>
      <c r="P22" s="12">
        <v>25.0</v>
      </c>
      <c r="Q22" s="12">
        <v>-18.0</v>
      </c>
      <c r="R22" s="12">
        <v>0.28</v>
      </c>
      <c r="S22" s="12">
        <v>0.04</v>
      </c>
      <c r="T22" s="12">
        <v>0.1774</v>
      </c>
      <c r="U22" s="12">
        <v>0.08382158382158382</v>
      </c>
      <c r="V22" s="12">
        <v>111.68812450954746</v>
      </c>
      <c r="W22" s="12">
        <v>10.0</v>
      </c>
      <c r="X22" s="12">
        <v>114.009182796937</v>
      </c>
      <c r="Y22" s="12">
        <v>0.0</v>
      </c>
      <c r="Z22" s="12">
        <v>0.0084</v>
      </c>
      <c r="AA22" s="12">
        <v>0.0</v>
      </c>
      <c r="AB22" s="12">
        <v>20.0</v>
      </c>
      <c r="AC22" s="12">
        <v>30.0</v>
      </c>
      <c r="AD22" s="12">
        <v>100.0</v>
      </c>
      <c r="AE22" s="12">
        <v>30.0</v>
      </c>
      <c r="AF22" s="12">
        <v>0.9796414794804416</v>
      </c>
      <c r="AG22" s="12">
        <v>2.7429961425452367</v>
      </c>
      <c r="AH22" s="12" t="s">
        <v>132</v>
      </c>
      <c r="AI22" s="12" t="s">
        <v>45</v>
      </c>
      <c r="AJ22" s="12" t="s">
        <v>366</v>
      </c>
      <c r="AK22" s="12">
        <v>10.326686984167623</v>
      </c>
      <c r="AL22" s="12" t="s">
        <v>135</v>
      </c>
      <c r="AM22" s="12"/>
    </row>
    <row r="23" ht="15.75" customHeight="1">
      <c r="A23" s="12" t="s">
        <v>120</v>
      </c>
      <c r="B23" s="12">
        <v>40.0</v>
      </c>
      <c r="C23" s="12">
        <v>2.0</v>
      </c>
      <c r="D23" s="12" t="s">
        <v>353</v>
      </c>
      <c r="E23" s="12" t="s">
        <v>132</v>
      </c>
      <c r="F23" s="12">
        <v>40.0</v>
      </c>
      <c r="G23" s="12">
        <v>1.0</v>
      </c>
      <c r="H23" s="12" t="s">
        <v>123</v>
      </c>
      <c r="I23" s="12" t="s">
        <v>124</v>
      </c>
      <c r="J23" s="12" t="s">
        <v>125</v>
      </c>
      <c r="K23" s="12">
        <v>4.0</v>
      </c>
      <c r="L23" s="12" t="s">
        <v>145</v>
      </c>
      <c r="M23" s="12" t="s">
        <v>374</v>
      </c>
      <c r="N23" s="12">
        <v>30.0</v>
      </c>
      <c r="O23" s="12">
        <v>40.0</v>
      </c>
      <c r="P23" s="12">
        <v>35.0</v>
      </c>
      <c r="Q23" s="12">
        <v>-115.1</v>
      </c>
      <c r="R23" s="12">
        <v>0.24</v>
      </c>
      <c r="S23" s="12">
        <v>0.02</v>
      </c>
      <c r="T23" s="12">
        <v>0.24899999999999967</v>
      </c>
      <c r="U23" s="12">
        <v>0.10577740016992339</v>
      </c>
      <c r="V23" s="12">
        <v>93.21044179792547</v>
      </c>
      <c r="W23" s="12">
        <v>10.0</v>
      </c>
      <c r="X23" s="12">
        <v>114.009182796937</v>
      </c>
      <c r="Y23" s="12">
        <v>0.0</v>
      </c>
      <c r="Z23" s="12">
        <v>0.0041</v>
      </c>
      <c r="AA23" s="12">
        <v>0.0</v>
      </c>
      <c r="AB23" s="12">
        <v>30.0</v>
      </c>
      <c r="AC23" s="12">
        <v>40.0</v>
      </c>
      <c r="AD23" s="12">
        <v>100.0</v>
      </c>
      <c r="AE23" s="12">
        <v>40.0</v>
      </c>
      <c r="AF23" s="12">
        <v>0.8175695984414133</v>
      </c>
      <c r="AG23" s="12">
        <v>1.962167036259392</v>
      </c>
      <c r="AH23" s="12" t="s">
        <v>132</v>
      </c>
      <c r="AI23" s="12" t="s">
        <v>45</v>
      </c>
      <c r="AJ23" s="12" t="s">
        <v>366</v>
      </c>
      <c r="AK23" s="12">
        <v>12.288854020427014</v>
      </c>
      <c r="AL23" s="12" t="s">
        <v>135</v>
      </c>
      <c r="AM23" s="12"/>
    </row>
    <row r="24" ht="15.75" customHeight="1">
      <c r="A24" s="12" t="s">
        <v>120</v>
      </c>
      <c r="B24" s="12">
        <v>41.0</v>
      </c>
      <c r="C24" s="12">
        <v>2.0</v>
      </c>
      <c r="D24" s="12" t="s">
        <v>353</v>
      </c>
      <c r="E24" s="12" t="s">
        <v>132</v>
      </c>
      <c r="F24" s="12">
        <v>40.0</v>
      </c>
      <c r="G24" s="12">
        <v>1.0</v>
      </c>
      <c r="H24" s="12" t="s">
        <v>123</v>
      </c>
      <c r="I24" s="12" t="s">
        <v>124</v>
      </c>
      <c r="J24" s="12" t="s">
        <v>125</v>
      </c>
      <c r="K24" s="12">
        <v>5.0</v>
      </c>
      <c r="L24" s="12" t="s">
        <v>148</v>
      </c>
      <c r="M24" s="12" t="s">
        <v>379</v>
      </c>
      <c r="N24" s="12">
        <v>40.0</v>
      </c>
      <c r="O24" s="12">
        <v>50.0</v>
      </c>
      <c r="P24" s="12">
        <v>45.0</v>
      </c>
      <c r="Q24" s="12">
        <v>-181.4</v>
      </c>
      <c r="R24" s="12">
        <v>0.17</v>
      </c>
      <c r="S24" s="12">
        <v>0.02</v>
      </c>
      <c r="T24" s="12">
        <v>0.18119999999999958</v>
      </c>
      <c r="U24" s="12">
        <v>0.08387335678578021</v>
      </c>
      <c r="V24" s="12">
        <v>145.83807140416812</v>
      </c>
      <c r="W24" s="12">
        <v>10.0</v>
      </c>
      <c r="X24" s="12">
        <v>114.009182796937</v>
      </c>
      <c r="Y24" s="12">
        <v>0.0</v>
      </c>
      <c r="Z24" s="12">
        <v>0.0</v>
      </c>
      <c r="AA24" s="12">
        <v>0.0</v>
      </c>
      <c r="AB24" s="12">
        <v>40.0</v>
      </c>
      <c r="AC24" s="12">
        <v>50.0</v>
      </c>
      <c r="AD24" s="12">
        <v>100.0</v>
      </c>
      <c r="AE24" s="12">
        <v>50.0</v>
      </c>
      <c r="AF24" s="12">
        <v>1.2791782892078256</v>
      </c>
      <c r="AG24" s="12">
        <v>2.174603091653304</v>
      </c>
      <c r="AH24" s="12" t="s">
        <v>132</v>
      </c>
      <c r="AI24" s="12" t="s">
        <v>45</v>
      </c>
      <c r="AJ24" s="12" t="s">
        <v>366</v>
      </c>
      <c r="AK24" s="12">
        <v>14.463457112080317</v>
      </c>
      <c r="AL24" s="12" t="s">
        <v>135</v>
      </c>
      <c r="AM24" s="12"/>
    </row>
    <row r="25" ht="15.75" customHeight="1">
      <c r="A25" s="12" t="s">
        <v>120</v>
      </c>
      <c r="B25" s="12">
        <v>42.0</v>
      </c>
      <c r="C25" s="12">
        <v>2.0</v>
      </c>
      <c r="D25" s="12" t="s">
        <v>353</v>
      </c>
      <c r="E25" s="12" t="s">
        <v>132</v>
      </c>
      <c r="F25" s="12">
        <v>40.0</v>
      </c>
      <c r="G25" s="12">
        <v>1.0</v>
      </c>
      <c r="H25" s="12" t="s">
        <v>123</v>
      </c>
      <c r="I25" s="12" t="s">
        <v>124</v>
      </c>
      <c r="J25" s="12" t="s">
        <v>125</v>
      </c>
      <c r="K25" s="12">
        <v>6.0</v>
      </c>
      <c r="L25" s="12" t="s">
        <v>151</v>
      </c>
      <c r="M25" s="12" t="s">
        <v>383</v>
      </c>
      <c r="N25" s="12">
        <v>50.0</v>
      </c>
      <c r="O25" s="12">
        <v>100.0</v>
      </c>
      <c r="P25" s="12">
        <v>75.0</v>
      </c>
      <c r="Q25" s="12">
        <v>-160.8</v>
      </c>
      <c r="R25" s="12">
        <v>0.18</v>
      </c>
      <c r="S25" s="12">
        <v>0.01</v>
      </c>
      <c r="T25" s="12">
        <v>0.16900000000000004</v>
      </c>
      <c r="U25" s="12">
        <v>0.08498441114351808</v>
      </c>
      <c r="V25" s="12">
        <v>516.0442806822394</v>
      </c>
      <c r="W25" s="12">
        <v>50.0</v>
      </c>
      <c r="X25" s="12">
        <v>570.045913984685</v>
      </c>
      <c r="Y25" s="12">
        <v>0.0020000000000000018</v>
      </c>
      <c r="Z25" s="12">
        <v>0.0</v>
      </c>
      <c r="AA25" s="12">
        <v>0.0</v>
      </c>
      <c r="AB25" s="12">
        <v>50.0</v>
      </c>
      <c r="AC25" s="12">
        <v>100.0</v>
      </c>
      <c r="AD25" s="12">
        <v>100.0</v>
      </c>
      <c r="AE25" s="12">
        <v>100.0</v>
      </c>
      <c r="AF25" s="12">
        <v>0.9052679232011891</v>
      </c>
      <c r="AG25" s="12">
        <v>8.147411308810701</v>
      </c>
      <c r="AH25" s="12" t="s">
        <v>132</v>
      </c>
      <c r="AI25" s="12" t="s">
        <v>45</v>
      </c>
      <c r="AJ25" s="12" t="s">
        <v>366</v>
      </c>
      <c r="AK25" s="12">
        <v>22.610868420891016</v>
      </c>
      <c r="AL25" s="12" t="s">
        <v>135</v>
      </c>
      <c r="AM25" s="12"/>
    </row>
    <row r="26" ht="15.75" customHeight="1">
      <c r="A26" s="12" t="s">
        <v>120</v>
      </c>
      <c r="B26" s="12">
        <v>49.0</v>
      </c>
      <c r="C26" s="12">
        <v>2.0</v>
      </c>
      <c r="D26" s="12" t="s">
        <v>353</v>
      </c>
      <c r="E26" s="12" t="s">
        <v>132</v>
      </c>
      <c r="F26" s="12">
        <v>40.0</v>
      </c>
      <c r="G26" s="12">
        <v>3.0</v>
      </c>
      <c r="H26" s="12" t="s">
        <v>184</v>
      </c>
      <c r="I26" s="12" t="s">
        <v>124</v>
      </c>
      <c r="J26" s="12" t="s">
        <v>125</v>
      </c>
      <c r="K26" s="12">
        <v>1.0</v>
      </c>
      <c r="L26" s="12" t="s">
        <v>67</v>
      </c>
      <c r="M26" s="12" t="s">
        <v>385</v>
      </c>
      <c r="N26" s="12">
        <v>0.0</v>
      </c>
      <c r="O26" s="12">
        <v>10.0</v>
      </c>
      <c r="P26" s="12">
        <v>5.0</v>
      </c>
      <c r="Q26" s="12">
        <v>-20.1</v>
      </c>
      <c r="R26" s="12">
        <v>0.58</v>
      </c>
      <c r="S26" s="12">
        <v>0.08</v>
      </c>
      <c r="T26" s="12">
        <v>0.03359999999999985</v>
      </c>
      <c r="U26" s="12">
        <v>0.015910597594469104</v>
      </c>
      <c r="V26" s="12">
        <v>81.55245175724806</v>
      </c>
      <c r="W26" s="12">
        <v>10.0</v>
      </c>
      <c r="X26" s="12">
        <v>114.009182796937</v>
      </c>
      <c r="Y26" s="12">
        <v>0.014000000000000012</v>
      </c>
      <c r="Z26" s="12">
        <v>0.014000000000000012</v>
      </c>
      <c r="AA26" s="12">
        <v>0.0</v>
      </c>
      <c r="AB26" s="12">
        <v>0.0</v>
      </c>
      <c r="AC26" s="12">
        <v>10.0</v>
      </c>
      <c r="AD26" s="12">
        <v>100.0</v>
      </c>
      <c r="AE26" s="12">
        <v>10.0</v>
      </c>
      <c r="AF26" s="12">
        <v>0.7153147646229693</v>
      </c>
      <c r="AG26" s="12">
        <v>4.148825634813221</v>
      </c>
      <c r="AH26" s="12" t="s">
        <v>132</v>
      </c>
      <c r="AI26" s="12" t="s">
        <v>45</v>
      </c>
      <c r="AJ26" s="12" t="s">
        <v>386</v>
      </c>
      <c r="AK26" s="12">
        <v>4.148825634813221</v>
      </c>
      <c r="AL26" s="12" t="s">
        <v>135</v>
      </c>
      <c r="AM26" s="12"/>
    </row>
    <row r="27" ht="15.75" customHeight="1">
      <c r="A27" s="12" t="s">
        <v>120</v>
      </c>
      <c r="B27" s="12">
        <v>50.0</v>
      </c>
      <c r="C27" s="12">
        <v>2.0</v>
      </c>
      <c r="D27" s="12" t="s">
        <v>353</v>
      </c>
      <c r="E27" s="12" t="s">
        <v>132</v>
      </c>
      <c r="F27" s="12">
        <v>40.0</v>
      </c>
      <c r="G27" s="12">
        <v>3.0</v>
      </c>
      <c r="H27" s="12" t="s">
        <v>184</v>
      </c>
      <c r="I27" s="12" t="s">
        <v>124</v>
      </c>
      <c r="J27" s="12" t="s">
        <v>125</v>
      </c>
      <c r="K27" s="12">
        <v>2.0</v>
      </c>
      <c r="L27" s="12" t="s">
        <v>138</v>
      </c>
      <c r="M27" s="12" t="s">
        <v>389</v>
      </c>
      <c r="N27" s="12">
        <v>10.0</v>
      </c>
      <c r="O27" s="12">
        <v>20.0</v>
      </c>
      <c r="P27" s="12">
        <v>15.0</v>
      </c>
      <c r="Q27" s="12">
        <v>-19.9</v>
      </c>
      <c r="R27" s="12">
        <v>0.67</v>
      </c>
      <c r="S27" s="12">
        <v>0.07</v>
      </c>
      <c r="T27" s="12">
        <v>0.07410000000000005</v>
      </c>
      <c r="U27" s="12">
        <v>0.0342976162925249</v>
      </c>
      <c r="V27" s="12">
        <v>113.33294996867448</v>
      </c>
      <c r="W27" s="12">
        <v>10.0</v>
      </c>
      <c r="X27" s="12">
        <v>114.009182796937</v>
      </c>
      <c r="Y27" s="12">
        <v>0.046499999999999986</v>
      </c>
      <c r="Z27" s="12">
        <v>0.046499999999999986</v>
      </c>
      <c r="AA27" s="12">
        <v>0.0</v>
      </c>
      <c r="AB27" s="12">
        <v>10.0</v>
      </c>
      <c r="AC27" s="12">
        <v>20.0</v>
      </c>
      <c r="AD27" s="12">
        <v>100.0</v>
      </c>
      <c r="AE27" s="12">
        <v>20.0</v>
      </c>
      <c r="AF27" s="12">
        <v>0.9940686108638551</v>
      </c>
      <c r="AG27" s="12">
        <v>6.66025969278783</v>
      </c>
      <c r="AH27" s="12" t="s">
        <v>132</v>
      </c>
      <c r="AI27" s="12" t="s">
        <v>45</v>
      </c>
      <c r="AJ27" s="12" t="s">
        <v>386</v>
      </c>
      <c r="AK27" s="12">
        <v>10.80908532760105</v>
      </c>
      <c r="AL27" s="12" t="s">
        <v>135</v>
      </c>
      <c r="AM27" s="12"/>
    </row>
    <row r="28" ht="15.75" customHeight="1">
      <c r="A28" s="12" t="s">
        <v>120</v>
      </c>
      <c r="B28" s="12">
        <v>51.0</v>
      </c>
      <c r="C28" s="12">
        <v>2.0</v>
      </c>
      <c r="D28" s="12" t="s">
        <v>353</v>
      </c>
      <c r="E28" s="12" t="s">
        <v>132</v>
      </c>
      <c r="F28" s="12">
        <v>40.0</v>
      </c>
      <c r="G28" s="12">
        <v>3.0</v>
      </c>
      <c r="H28" s="12" t="s">
        <v>184</v>
      </c>
      <c r="I28" s="12" t="s">
        <v>124</v>
      </c>
      <c r="J28" s="12" t="s">
        <v>125</v>
      </c>
      <c r="K28" s="12">
        <v>3.0</v>
      </c>
      <c r="L28" s="12" t="s">
        <v>142</v>
      </c>
      <c r="M28" s="12" t="s">
        <v>392</v>
      </c>
      <c r="N28" s="12">
        <v>20.0</v>
      </c>
      <c r="O28" s="12">
        <v>30.0</v>
      </c>
      <c r="P28" s="12">
        <v>25.0</v>
      </c>
      <c r="Q28" s="12">
        <v>-16.0</v>
      </c>
      <c r="R28" s="12">
        <v>0.47</v>
      </c>
      <c r="S28" s="12">
        <v>0.05</v>
      </c>
      <c r="T28" s="12">
        <v>0.09509999999999996</v>
      </c>
      <c r="U28" s="12">
        <v>0.04272429129790195</v>
      </c>
      <c r="V28" s="12">
        <v>115.6777501077122</v>
      </c>
      <c r="W28" s="12">
        <v>10.0</v>
      </c>
      <c r="X28" s="12">
        <v>114.009182796937</v>
      </c>
      <c r="Y28" s="12">
        <v>0.027099999999999902</v>
      </c>
      <c r="Z28" s="12">
        <v>0.027099999999999902</v>
      </c>
      <c r="AA28" s="12">
        <v>0.0</v>
      </c>
      <c r="AB28" s="12">
        <v>20.0</v>
      </c>
      <c r="AC28" s="12">
        <v>30.0</v>
      </c>
      <c r="AD28" s="12">
        <v>100.0</v>
      </c>
      <c r="AE28" s="12">
        <v>30.0</v>
      </c>
      <c r="AF28" s="12">
        <v>1.0146353764656582</v>
      </c>
      <c r="AG28" s="12">
        <v>4.768786269388593</v>
      </c>
      <c r="AH28" s="12" t="s">
        <v>132</v>
      </c>
      <c r="AI28" s="12" t="s">
        <v>45</v>
      </c>
      <c r="AJ28" s="12" t="s">
        <v>386</v>
      </c>
      <c r="AK28" s="12">
        <v>15.577871596989642</v>
      </c>
      <c r="AL28" s="12" t="s">
        <v>135</v>
      </c>
      <c r="AM28" s="12"/>
    </row>
    <row r="29" ht="15.75" customHeight="1">
      <c r="A29" s="12" t="s">
        <v>120</v>
      </c>
      <c r="B29" s="12">
        <v>52.0</v>
      </c>
      <c r="C29" s="12">
        <v>2.0</v>
      </c>
      <c r="D29" s="12" t="s">
        <v>353</v>
      </c>
      <c r="E29" s="12" t="s">
        <v>132</v>
      </c>
      <c r="F29" s="12">
        <v>40.0</v>
      </c>
      <c r="G29" s="12">
        <v>3.0</v>
      </c>
      <c r="H29" s="12" t="s">
        <v>184</v>
      </c>
      <c r="I29" s="12" t="s">
        <v>124</v>
      </c>
      <c r="J29" s="12" t="s">
        <v>125</v>
      </c>
      <c r="K29" s="12">
        <v>4.0</v>
      </c>
      <c r="L29" s="12" t="s">
        <v>145</v>
      </c>
      <c r="M29" s="12" t="s">
        <v>393</v>
      </c>
      <c r="N29" s="12">
        <v>30.0</v>
      </c>
      <c r="O29" s="12">
        <v>40.0</v>
      </c>
      <c r="P29" s="12">
        <v>35.0</v>
      </c>
      <c r="Q29" s="12">
        <v>19.7</v>
      </c>
      <c r="R29" s="12">
        <v>0.3</v>
      </c>
      <c r="S29" s="12">
        <v>0.03</v>
      </c>
      <c r="T29" s="12">
        <v>0.09879999999999978</v>
      </c>
      <c r="U29" s="12">
        <v>0.045917181763256855</v>
      </c>
      <c r="V29" s="12">
        <v>129.26453676960676</v>
      </c>
      <c r="W29" s="12">
        <v>10.0</v>
      </c>
      <c r="X29" s="12">
        <v>114.009182796937</v>
      </c>
      <c r="Y29" s="12">
        <v>0.02740000000000009</v>
      </c>
      <c r="Z29" s="12">
        <v>0.02740000000000009</v>
      </c>
      <c r="AA29" s="12">
        <v>0.0</v>
      </c>
      <c r="AB29" s="12">
        <v>30.0</v>
      </c>
      <c r="AC29" s="12">
        <v>40.0</v>
      </c>
      <c r="AD29" s="12">
        <v>100.0</v>
      </c>
      <c r="AE29" s="12">
        <v>40.0</v>
      </c>
      <c r="AF29" s="12">
        <v>1.133808116139568</v>
      </c>
      <c r="AG29" s="12">
        <v>3.4014243484187032</v>
      </c>
      <c r="AH29" s="12" t="s">
        <v>132</v>
      </c>
      <c r="AI29" s="12" t="s">
        <v>45</v>
      </c>
      <c r="AJ29" s="12" t="s">
        <v>386</v>
      </c>
      <c r="AK29" s="12">
        <v>18.979295945408346</v>
      </c>
      <c r="AL29" s="12" t="s">
        <v>135</v>
      </c>
      <c r="AM29" s="12"/>
    </row>
    <row r="30" ht="15.75" customHeight="1">
      <c r="A30" s="12" t="s">
        <v>120</v>
      </c>
      <c r="B30" s="12">
        <v>53.0</v>
      </c>
      <c r="C30" s="12">
        <v>2.0</v>
      </c>
      <c r="D30" s="12" t="s">
        <v>353</v>
      </c>
      <c r="E30" s="12" t="s">
        <v>132</v>
      </c>
      <c r="F30" s="12">
        <v>40.0</v>
      </c>
      <c r="G30" s="12">
        <v>3.0</v>
      </c>
      <c r="H30" s="12" t="s">
        <v>184</v>
      </c>
      <c r="I30" s="12" t="s">
        <v>124</v>
      </c>
      <c r="J30" s="12" t="s">
        <v>125</v>
      </c>
      <c r="K30" s="12">
        <v>5.0</v>
      </c>
      <c r="L30" s="12" t="s">
        <v>148</v>
      </c>
      <c r="M30" s="12" t="s">
        <v>398</v>
      </c>
      <c r="N30" s="12">
        <v>40.0</v>
      </c>
      <c r="O30" s="12">
        <v>50.0</v>
      </c>
      <c r="P30" s="12">
        <v>45.0</v>
      </c>
      <c r="Q30" s="12">
        <v>-21.8</v>
      </c>
      <c r="R30" s="12">
        <v>0.24</v>
      </c>
      <c r="S30" s="12">
        <v>0.03</v>
      </c>
      <c r="T30" s="12">
        <v>0.10309999999999997</v>
      </c>
      <c r="U30" s="12">
        <v>0.051845519460927275</v>
      </c>
      <c r="V30" s="12">
        <v>126.63456518621216</v>
      </c>
      <c r="W30" s="12">
        <v>10.0</v>
      </c>
      <c r="X30" s="12">
        <v>114.009182796937</v>
      </c>
      <c r="Y30" s="12">
        <v>0.010000000000000009</v>
      </c>
      <c r="Z30" s="12">
        <v>0.010000000000000009</v>
      </c>
      <c r="AA30" s="12">
        <v>0.0</v>
      </c>
      <c r="AB30" s="12">
        <v>40.0</v>
      </c>
      <c r="AC30" s="12">
        <v>50.0</v>
      </c>
      <c r="AD30" s="12">
        <v>100.0</v>
      </c>
      <c r="AE30" s="12">
        <v>50.0</v>
      </c>
      <c r="AF30" s="12">
        <v>1.1107400481219338</v>
      </c>
      <c r="AG30" s="12">
        <v>2.6657761154926414</v>
      </c>
      <c r="AH30" s="12" t="s">
        <v>132</v>
      </c>
      <c r="AI30" s="12" t="s">
        <v>45</v>
      </c>
      <c r="AJ30" s="12" t="s">
        <v>386</v>
      </c>
      <c r="AK30" s="12">
        <v>21.645072060900986</v>
      </c>
      <c r="AL30" s="12" t="s">
        <v>135</v>
      </c>
      <c r="AM30" s="12"/>
    </row>
    <row r="31" ht="15.75" customHeight="1">
      <c r="A31" s="12" t="s">
        <v>120</v>
      </c>
      <c r="B31" s="12">
        <v>54.0</v>
      </c>
      <c r="C31" s="12">
        <v>2.0</v>
      </c>
      <c r="D31" s="12" t="s">
        <v>353</v>
      </c>
      <c r="E31" s="12" t="s">
        <v>132</v>
      </c>
      <c r="F31" s="12">
        <v>40.0</v>
      </c>
      <c r="G31" s="12">
        <v>3.0</v>
      </c>
      <c r="H31" s="12" t="s">
        <v>184</v>
      </c>
      <c r="I31" s="12" t="s">
        <v>124</v>
      </c>
      <c r="J31" s="12" t="s">
        <v>125</v>
      </c>
      <c r="K31" s="12">
        <v>6.0</v>
      </c>
      <c r="L31" s="12" t="s">
        <v>151</v>
      </c>
      <c r="M31" s="12" t="s">
        <v>405</v>
      </c>
      <c r="N31" s="12">
        <v>50.0</v>
      </c>
      <c r="O31" s="12">
        <v>100.0</v>
      </c>
      <c r="P31" s="12">
        <v>75.0</v>
      </c>
      <c r="Q31" s="12">
        <v>-132.9</v>
      </c>
      <c r="R31" s="12">
        <v>0.21</v>
      </c>
      <c r="S31" s="12">
        <v>0.02</v>
      </c>
      <c r="T31" s="12">
        <v>0.29059999999999997</v>
      </c>
      <c r="U31" s="12">
        <v>0.15244190316319572</v>
      </c>
      <c r="V31" s="12">
        <v>622.0964354317447</v>
      </c>
      <c r="W31" s="12">
        <v>50.0</v>
      </c>
      <c r="X31" s="12">
        <v>570.045913984685</v>
      </c>
      <c r="Y31" s="12">
        <v>0.0</v>
      </c>
      <c r="Z31" s="12">
        <v>0.0074</v>
      </c>
      <c r="AA31" s="12">
        <v>0.0</v>
      </c>
      <c r="AB31" s="12">
        <v>50.0</v>
      </c>
      <c r="AC31" s="12">
        <v>100.0</v>
      </c>
      <c r="AD31" s="12">
        <v>100.0</v>
      </c>
      <c r="AE31" s="12">
        <v>100.0</v>
      </c>
      <c r="AF31" s="12">
        <v>1.091309349247363</v>
      </c>
      <c r="AG31" s="12">
        <v>11.45874816709731</v>
      </c>
      <c r="AH31" s="12" t="s">
        <v>132</v>
      </c>
      <c r="AI31" s="12" t="s">
        <v>45</v>
      </c>
      <c r="AJ31" s="12" t="s">
        <v>386</v>
      </c>
      <c r="AK31" s="12">
        <v>33.1038202279983</v>
      </c>
      <c r="AL31" s="12" t="s">
        <v>135</v>
      </c>
      <c r="AM31" s="12"/>
    </row>
    <row r="32" ht="15.75" customHeight="1">
      <c r="A32" s="12" t="s">
        <v>120</v>
      </c>
      <c r="B32" s="12">
        <v>61.0</v>
      </c>
      <c r="C32" s="12">
        <v>2.0</v>
      </c>
      <c r="D32" s="12" t="s">
        <v>353</v>
      </c>
      <c r="E32" s="12" t="s">
        <v>132</v>
      </c>
      <c r="F32" s="12">
        <v>40.0</v>
      </c>
      <c r="G32" s="12">
        <v>5.0</v>
      </c>
      <c r="H32" s="12" t="s">
        <v>259</v>
      </c>
      <c r="I32" s="12" t="s">
        <v>124</v>
      </c>
      <c r="J32" s="12" t="s">
        <v>125</v>
      </c>
      <c r="K32" s="12">
        <v>1.0</v>
      </c>
      <c r="L32" s="12" t="s">
        <v>67</v>
      </c>
      <c r="M32" s="12" t="s">
        <v>408</v>
      </c>
      <c r="N32" s="12">
        <v>0.0</v>
      </c>
      <c r="O32" s="12">
        <v>10.0</v>
      </c>
      <c r="P32" s="12">
        <v>5.0</v>
      </c>
      <c r="Q32" s="12">
        <v>-21.6</v>
      </c>
      <c r="R32" s="12">
        <v>0.65</v>
      </c>
      <c r="S32" s="12">
        <v>0.09</v>
      </c>
      <c r="T32" s="12">
        <v>0.21619999999999973</v>
      </c>
      <c r="U32" s="12">
        <v>0.097748440184465</v>
      </c>
      <c r="V32" s="12">
        <v>85.90310543657331</v>
      </c>
      <c r="W32" s="12">
        <v>10.0</v>
      </c>
      <c r="X32" s="12">
        <v>114.009182796937</v>
      </c>
      <c r="Y32" s="12">
        <v>0.011600000000000055</v>
      </c>
      <c r="Z32" s="12">
        <v>0.011600000000000055</v>
      </c>
      <c r="AA32" s="12">
        <v>0.0</v>
      </c>
      <c r="AB32" s="12">
        <v>0.0</v>
      </c>
      <c r="AC32" s="12">
        <v>10.0</v>
      </c>
      <c r="AD32" s="12">
        <v>100.0</v>
      </c>
      <c r="AE32" s="12">
        <v>10.0</v>
      </c>
      <c r="AF32" s="12">
        <v>0.7534753195238341</v>
      </c>
      <c r="AG32" s="12">
        <v>4.897589576904922</v>
      </c>
      <c r="AH32" s="12" t="s">
        <v>132</v>
      </c>
      <c r="AI32" s="12" t="s">
        <v>45</v>
      </c>
      <c r="AJ32" s="12" t="s">
        <v>409</v>
      </c>
      <c r="AK32" s="12">
        <v>4.897589576904922</v>
      </c>
      <c r="AL32" s="12" t="s">
        <v>135</v>
      </c>
      <c r="AM32" s="12"/>
    </row>
    <row r="33" ht="15.75" customHeight="1">
      <c r="A33" s="12" t="s">
        <v>120</v>
      </c>
      <c r="B33" s="12">
        <v>62.0</v>
      </c>
      <c r="C33" s="12">
        <v>2.0</v>
      </c>
      <c r="D33" s="12" t="s">
        <v>353</v>
      </c>
      <c r="E33" s="12" t="s">
        <v>132</v>
      </c>
      <c r="F33" s="12">
        <v>40.0</v>
      </c>
      <c r="G33" s="12">
        <v>5.0</v>
      </c>
      <c r="H33" s="12" t="s">
        <v>259</v>
      </c>
      <c r="I33" s="12" t="s">
        <v>124</v>
      </c>
      <c r="J33" s="12" t="s">
        <v>125</v>
      </c>
      <c r="K33" s="12">
        <v>2.0</v>
      </c>
      <c r="L33" s="12" t="s">
        <v>138</v>
      </c>
      <c r="M33" s="12" t="s">
        <v>411</v>
      </c>
      <c r="N33" s="12">
        <v>10.0</v>
      </c>
      <c r="O33" s="12">
        <v>20.0</v>
      </c>
      <c r="P33" s="12">
        <v>15.0</v>
      </c>
      <c r="Q33" s="12">
        <v>-18.6</v>
      </c>
      <c r="R33" s="12">
        <v>0.58</v>
      </c>
      <c r="S33" s="12">
        <v>0.06</v>
      </c>
      <c r="T33" s="12">
        <v>0.19120000000000026</v>
      </c>
      <c r="U33" s="12">
        <v>0.09727309727309741</v>
      </c>
      <c r="V33" s="12">
        <v>111.95936572700293</v>
      </c>
      <c r="W33" s="12">
        <v>10.0</v>
      </c>
      <c r="X33" s="12">
        <v>114.009182796937</v>
      </c>
      <c r="Y33" s="12">
        <v>0.016699999999999937</v>
      </c>
      <c r="Z33" s="12">
        <v>0.016699999999999937</v>
      </c>
      <c r="AA33" s="12">
        <v>0.0</v>
      </c>
      <c r="AB33" s="12">
        <v>10.0</v>
      </c>
      <c r="AC33" s="12">
        <v>20.0</v>
      </c>
      <c r="AD33" s="12">
        <v>100.0</v>
      </c>
      <c r="AE33" s="12">
        <v>20.0</v>
      </c>
      <c r="AF33" s="12">
        <v>0.9820205967655692</v>
      </c>
      <c r="AG33" s="12">
        <v>5.695719461240301</v>
      </c>
      <c r="AH33" s="12" t="s">
        <v>132</v>
      </c>
      <c r="AI33" s="12" t="s">
        <v>45</v>
      </c>
      <c r="AJ33" s="12" t="s">
        <v>409</v>
      </c>
      <c r="AK33" s="12">
        <v>10.593309038145222</v>
      </c>
      <c r="AL33" s="12" t="s">
        <v>135</v>
      </c>
      <c r="AM33" s="12"/>
    </row>
    <row r="34" ht="15.75" customHeight="1">
      <c r="A34" s="12" t="s">
        <v>120</v>
      </c>
      <c r="B34" s="12">
        <v>63.0</v>
      </c>
      <c r="C34" s="12">
        <v>2.0</v>
      </c>
      <c r="D34" s="12" t="s">
        <v>353</v>
      </c>
      <c r="E34" s="12" t="s">
        <v>132</v>
      </c>
      <c r="F34" s="12">
        <v>40.0</v>
      </c>
      <c r="G34" s="12">
        <v>5.0</v>
      </c>
      <c r="H34" s="12" t="s">
        <v>259</v>
      </c>
      <c r="I34" s="12" t="s">
        <v>124</v>
      </c>
      <c r="J34" s="12" t="s">
        <v>125</v>
      </c>
      <c r="K34" s="12">
        <v>3.0</v>
      </c>
      <c r="L34" s="12" t="s">
        <v>142</v>
      </c>
      <c r="M34" s="12" t="s">
        <v>412</v>
      </c>
      <c r="N34" s="12">
        <v>20.0</v>
      </c>
      <c r="O34" s="12">
        <v>30.0</v>
      </c>
      <c r="P34" s="12">
        <v>25.0</v>
      </c>
      <c r="Q34" s="12">
        <v>-18.7</v>
      </c>
      <c r="R34" s="12">
        <v>0.44</v>
      </c>
      <c r="S34" s="12">
        <v>0.06</v>
      </c>
      <c r="T34" s="12">
        <v>0.1905000000000001</v>
      </c>
      <c r="U34" s="12">
        <v>0.08727722545471212</v>
      </c>
      <c r="V34" s="12">
        <v>114.23029664587898</v>
      </c>
      <c r="W34" s="12">
        <v>10.0</v>
      </c>
      <c r="X34" s="12">
        <v>114.009182796937</v>
      </c>
      <c r="Y34" s="12">
        <v>0.0017000000000000348</v>
      </c>
      <c r="Z34" s="12">
        <v>0.0192</v>
      </c>
      <c r="AA34" s="12">
        <v>0.0</v>
      </c>
      <c r="AB34" s="12">
        <v>20.0</v>
      </c>
      <c r="AC34" s="12">
        <v>30.0</v>
      </c>
      <c r="AD34" s="12">
        <v>100.0</v>
      </c>
      <c r="AE34" s="12">
        <v>30.0</v>
      </c>
      <c r="AF34" s="12">
        <v>1.0019394389427017</v>
      </c>
      <c r="AG34" s="12">
        <v>4.408533531347888</v>
      </c>
      <c r="AH34" s="12" t="s">
        <v>132</v>
      </c>
      <c r="AI34" s="12" t="s">
        <v>45</v>
      </c>
      <c r="AJ34" s="12" t="s">
        <v>409</v>
      </c>
      <c r="AK34" s="12">
        <v>15.00184256949311</v>
      </c>
      <c r="AL34" s="12" t="s">
        <v>135</v>
      </c>
      <c r="AM34" s="12"/>
    </row>
    <row r="35" ht="15.75" customHeight="1">
      <c r="A35" s="12" t="s">
        <v>120</v>
      </c>
      <c r="B35" s="12">
        <v>64.0</v>
      </c>
      <c r="C35" s="12">
        <v>2.0</v>
      </c>
      <c r="D35" s="12" t="s">
        <v>353</v>
      </c>
      <c r="E35" s="12" t="s">
        <v>132</v>
      </c>
      <c r="F35" s="12">
        <v>40.0</v>
      </c>
      <c r="G35" s="12">
        <v>5.0</v>
      </c>
      <c r="H35" s="12" t="s">
        <v>259</v>
      </c>
      <c r="I35" s="12" t="s">
        <v>124</v>
      </c>
      <c r="J35" s="12" t="s">
        <v>125</v>
      </c>
      <c r="K35" s="12">
        <v>4.0</v>
      </c>
      <c r="L35" s="12" t="s">
        <v>145</v>
      </c>
      <c r="M35" s="12" t="s">
        <v>414</v>
      </c>
      <c r="N35" s="12">
        <v>30.0</v>
      </c>
      <c r="O35" s="12">
        <v>40.0</v>
      </c>
      <c r="P35" s="12">
        <v>35.0</v>
      </c>
      <c r="Q35" s="12">
        <v>17.9</v>
      </c>
      <c r="R35" s="12">
        <v>0.31</v>
      </c>
      <c r="S35" s="12">
        <v>0.03</v>
      </c>
      <c r="T35" s="12">
        <v>0.14619999999999989</v>
      </c>
      <c r="U35" s="12">
        <v>0.06826352897231165</v>
      </c>
      <c r="V35" s="12">
        <v>122.06725818436121</v>
      </c>
      <c r="W35" s="12">
        <v>10.0</v>
      </c>
      <c r="X35" s="12">
        <v>114.009182796937</v>
      </c>
      <c r="Y35" s="12">
        <v>0.0038000000000000256</v>
      </c>
      <c r="Z35" s="12">
        <v>0.031</v>
      </c>
      <c r="AA35" s="12">
        <v>0.0</v>
      </c>
      <c r="AB35" s="12">
        <v>30.0</v>
      </c>
      <c r="AC35" s="12">
        <v>40.0</v>
      </c>
      <c r="AD35" s="12">
        <v>100.0</v>
      </c>
      <c r="AE35" s="12">
        <v>40.0</v>
      </c>
      <c r="AF35" s="12">
        <v>1.0706791785515781</v>
      </c>
      <c r="AG35" s="12">
        <v>3.3191054535098923</v>
      </c>
      <c r="AH35" s="12" t="s">
        <v>132</v>
      </c>
      <c r="AI35" s="12" t="s">
        <v>45</v>
      </c>
      <c r="AJ35" s="12" t="s">
        <v>409</v>
      </c>
      <c r="AK35" s="12">
        <v>18.320948023003</v>
      </c>
      <c r="AL35" s="12" t="s">
        <v>135</v>
      </c>
      <c r="AM35" s="12"/>
    </row>
    <row r="36" ht="15.75" customHeight="1">
      <c r="A36" s="12" t="s">
        <v>120</v>
      </c>
      <c r="B36" s="12">
        <v>65.0</v>
      </c>
      <c r="C36" s="12">
        <v>2.0</v>
      </c>
      <c r="D36" s="12" t="s">
        <v>353</v>
      </c>
      <c r="E36" s="12" t="s">
        <v>132</v>
      </c>
      <c r="F36" s="12">
        <v>40.0</v>
      </c>
      <c r="G36" s="12">
        <v>5.0</v>
      </c>
      <c r="H36" s="12" t="s">
        <v>259</v>
      </c>
      <c r="I36" s="12" t="s">
        <v>124</v>
      </c>
      <c r="J36" s="12" t="s">
        <v>125</v>
      </c>
      <c r="K36" s="12">
        <v>5.0</v>
      </c>
      <c r="L36" s="12" t="s">
        <v>148</v>
      </c>
      <c r="M36" s="12" t="s">
        <v>415</v>
      </c>
      <c r="N36" s="12">
        <v>40.0</v>
      </c>
      <c r="O36" s="12">
        <v>50.0</v>
      </c>
      <c r="P36" s="12">
        <v>45.0</v>
      </c>
      <c r="Q36" s="12">
        <v>22.8</v>
      </c>
      <c r="R36" s="12">
        <v>0.27</v>
      </c>
      <c r="S36" s="12">
        <v>0.03</v>
      </c>
      <c r="T36" s="12">
        <v>0.1788000000000003</v>
      </c>
      <c r="U36" s="12">
        <v>0.06555694067610188</v>
      </c>
      <c r="V36" s="12">
        <v>115.99567820521642</v>
      </c>
      <c r="W36" s="12">
        <v>10.0</v>
      </c>
      <c r="X36" s="12">
        <v>114.009182796937</v>
      </c>
      <c r="Y36" s="12">
        <v>0.030999999999999917</v>
      </c>
      <c r="Z36" s="12">
        <v>0.006</v>
      </c>
      <c r="AA36" s="12">
        <v>0.0</v>
      </c>
      <c r="AB36" s="12">
        <v>40.0</v>
      </c>
      <c r="AC36" s="12">
        <v>50.0</v>
      </c>
      <c r="AD36" s="12">
        <v>100.0</v>
      </c>
      <c r="AE36" s="12">
        <v>50.0</v>
      </c>
      <c r="AF36" s="12">
        <v>1.0174239948006434</v>
      </c>
      <c r="AG36" s="12">
        <v>2.7470447859617373</v>
      </c>
      <c r="AH36" s="12" t="s">
        <v>132</v>
      </c>
      <c r="AI36" s="12" t="s">
        <v>45</v>
      </c>
      <c r="AJ36" s="12" t="s">
        <v>409</v>
      </c>
      <c r="AK36" s="12">
        <v>21.06799280896474</v>
      </c>
      <c r="AL36" s="12" t="s">
        <v>135</v>
      </c>
      <c r="AM36" s="12"/>
    </row>
    <row r="37" ht="15.75" customHeight="1">
      <c r="A37" s="12" t="s">
        <v>120</v>
      </c>
      <c r="B37" s="12">
        <v>66.0</v>
      </c>
      <c r="C37" s="12">
        <v>2.0</v>
      </c>
      <c r="D37" s="12" t="s">
        <v>353</v>
      </c>
      <c r="E37" s="12" t="s">
        <v>132</v>
      </c>
      <c r="F37" s="12">
        <v>40.0</v>
      </c>
      <c r="G37" s="12">
        <v>5.0</v>
      </c>
      <c r="H37" s="12" t="s">
        <v>259</v>
      </c>
      <c r="I37" s="12" t="s">
        <v>124</v>
      </c>
      <c r="J37" s="12" t="s">
        <v>125</v>
      </c>
      <c r="K37" s="12">
        <v>6.0</v>
      </c>
      <c r="L37" s="12" t="s">
        <v>151</v>
      </c>
      <c r="M37" s="12" t="s">
        <v>418</v>
      </c>
      <c r="N37" s="12">
        <v>50.0</v>
      </c>
      <c r="O37" s="12">
        <v>100.0</v>
      </c>
      <c r="P37" s="12">
        <v>75.0</v>
      </c>
      <c r="Q37" s="12">
        <v>-120.2</v>
      </c>
      <c r="R37" s="12">
        <v>0.18</v>
      </c>
      <c r="S37" s="12">
        <v>0.01</v>
      </c>
      <c r="T37" s="12">
        <v>0.19720000000000049</v>
      </c>
      <c r="U37" s="12">
        <v>0.07433935235797508</v>
      </c>
      <c r="V37" s="12">
        <v>639.2765921611283</v>
      </c>
      <c r="W37" s="12">
        <v>50.0</v>
      </c>
      <c r="X37" s="12">
        <v>570.045913984685</v>
      </c>
      <c r="Y37" s="12">
        <v>0.006000000000000005</v>
      </c>
      <c r="Z37" s="12">
        <v>0.0038</v>
      </c>
      <c r="AA37" s="12">
        <v>0.0</v>
      </c>
      <c r="AB37" s="12">
        <v>50.0</v>
      </c>
      <c r="AC37" s="12">
        <v>100.0</v>
      </c>
      <c r="AD37" s="12">
        <v>100.0</v>
      </c>
      <c r="AE37" s="12">
        <v>100.0</v>
      </c>
      <c r="AF37" s="12">
        <v>1.1214475474308958</v>
      </c>
      <c r="AG37" s="12">
        <v>10.093027926878062</v>
      </c>
      <c r="AH37" s="12" t="s">
        <v>132</v>
      </c>
      <c r="AI37" s="12" t="s">
        <v>45</v>
      </c>
      <c r="AJ37" s="12" t="s">
        <v>409</v>
      </c>
      <c r="AK37" s="12">
        <v>31.1610207358428</v>
      </c>
      <c r="AL37" s="12" t="s">
        <v>135</v>
      </c>
      <c r="AM37" s="12"/>
    </row>
    <row r="38" ht="15.75" customHeight="1">
      <c r="A38" s="12" t="s">
        <v>422</v>
      </c>
      <c r="B38" s="12">
        <v>67.0</v>
      </c>
      <c r="C38" s="12">
        <v>3.0</v>
      </c>
      <c r="D38" s="12" t="s">
        <v>423</v>
      </c>
      <c r="E38" s="12" t="s">
        <v>424</v>
      </c>
      <c r="F38" s="12">
        <v>60.0</v>
      </c>
      <c r="G38" s="12">
        <v>1.0</v>
      </c>
      <c r="H38" s="12" t="s">
        <v>123</v>
      </c>
      <c r="I38" s="12" t="s">
        <v>124</v>
      </c>
      <c r="J38" s="12" t="s">
        <v>125</v>
      </c>
      <c r="K38" s="12">
        <v>1.0</v>
      </c>
      <c r="L38" s="12" t="s">
        <v>67</v>
      </c>
      <c r="M38" s="12" t="s">
        <v>425</v>
      </c>
      <c r="N38" s="12">
        <v>0.0</v>
      </c>
      <c r="O38" s="12">
        <v>10.0</v>
      </c>
      <c r="P38" s="12">
        <v>5.0</v>
      </c>
      <c r="Q38" s="12">
        <v>8.3</v>
      </c>
      <c r="R38" s="12">
        <v>1.36</v>
      </c>
      <c r="S38" s="12">
        <v>0.14</v>
      </c>
      <c r="T38" s="12">
        <v>0.21670000000000034</v>
      </c>
      <c r="U38" s="12">
        <v>0.10978822575742242</v>
      </c>
      <c r="V38" s="12">
        <v>116.87815475918738</v>
      </c>
      <c r="W38" s="12">
        <v>10.0</v>
      </c>
      <c r="X38" s="12">
        <v>114.009182796937</v>
      </c>
      <c r="Y38" s="12">
        <v>0.08079999999999998</v>
      </c>
      <c r="Z38" s="12">
        <v>0.08079999999999998</v>
      </c>
      <c r="AA38" s="12">
        <v>0.0</v>
      </c>
      <c r="AB38" s="12">
        <v>0.0</v>
      </c>
      <c r="AC38" s="12">
        <v>10.0</v>
      </c>
      <c r="AD38" s="12">
        <v>100.0</v>
      </c>
      <c r="AE38" s="12">
        <v>10.0</v>
      </c>
      <c r="AF38" s="12">
        <v>1.0251643937081836</v>
      </c>
      <c r="AG38" s="12">
        <v>13.942235754431298</v>
      </c>
      <c r="AH38" s="12" t="s">
        <v>378</v>
      </c>
      <c r="AI38" s="12" t="s">
        <v>79</v>
      </c>
      <c r="AJ38" s="12" t="s">
        <v>428</v>
      </c>
      <c r="AK38" s="12">
        <v>13.942235754431298</v>
      </c>
      <c r="AL38" s="12" t="s">
        <v>135</v>
      </c>
      <c r="AM38" s="12"/>
    </row>
    <row r="39" ht="15.75" customHeight="1">
      <c r="A39" s="12" t="s">
        <v>422</v>
      </c>
      <c r="B39" s="12">
        <v>68.0</v>
      </c>
      <c r="C39" s="12">
        <v>3.0</v>
      </c>
      <c r="D39" s="12" t="s">
        <v>423</v>
      </c>
      <c r="E39" s="12" t="s">
        <v>424</v>
      </c>
      <c r="F39" s="12">
        <v>60.0</v>
      </c>
      <c r="G39" s="12">
        <v>1.0</v>
      </c>
      <c r="H39" s="12" t="s">
        <v>123</v>
      </c>
      <c r="I39" s="12" t="s">
        <v>124</v>
      </c>
      <c r="J39" s="12" t="s">
        <v>125</v>
      </c>
      <c r="K39" s="12">
        <v>2.0</v>
      </c>
      <c r="L39" s="12" t="s">
        <v>138</v>
      </c>
      <c r="M39" s="12" t="s">
        <v>429</v>
      </c>
      <c r="N39" s="12">
        <v>10.0</v>
      </c>
      <c r="O39" s="12">
        <v>20.0</v>
      </c>
      <c r="P39" s="12">
        <v>15.0</v>
      </c>
      <c r="Q39" s="12">
        <v>-11.0</v>
      </c>
      <c r="R39" s="12">
        <v>0.46</v>
      </c>
      <c r="S39" s="12">
        <v>0.04</v>
      </c>
      <c r="T39" s="12">
        <v>0.21550000000000002</v>
      </c>
      <c r="U39" s="12">
        <v>0.12099264499466623</v>
      </c>
      <c r="V39" s="12">
        <v>115.44232745667634</v>
      </c>
      <c r="W39" s="12">
        <v>10.0</v>
      </c>
      <c r="X39" s="12">
        <v>114.009182796937</v>
      </c>
      <c r="Y39" s="12">
        <v>0.009300000000000086</v>
      </c>
      <c r="Z39" s="12">
        <v>0.009300000000000086</v>
      </c>
      <c r="AA39" s="12">
        <v>0.0</v>
      </c>
      <c r="AB39" s="12">
        <v>10.0</v>
      </c>
      <c r="AC39" s="12">
        <v>20.0</v>
      </c>
      <c r="AD39" s="12">
        <v>100.0</v>
      </c>
      <c r="AE39" s="12">
        <v>20.0</v>
      </c>
      <c r="AF39" s="12">
        <v>1.012570431824706</v>
      </c>
      <c r="AG39" s="12">
        <v>4.657823986393648</v>
      </c>
      <c r="AH39" s="12" t="s">
        <v>378</v>
      </c>
      <c r="AI39" s="12" t="s">
        <v>79</v>
      </c>
      <c r="AJ39" s="12" t="s">
        <v>428</v>
      </c>
      <c r="AK39" s="12">
        <v>18.600059740824946</v>
      </c>
      <c r="AL39" s="12" t="s">
        <v>135</v>
      </c>
      <c r="AM39" s="12"/>
    </row>
    <row r="40" ht="15.75" customHeight="1">
      <c r="A40" s="12" t="s">
        <v>422</v>
      </c>
      <c r="B40" s="12">
        <v>69.0</v>
      </c>
      <c r="C40" s="12">
        <v>3.0</v>
      </c>
      <c r="D40" s="12" t="s">
        <v>423</v>
      </c>
      <c r="E40" s="12" t="s">
        <v>424</v>
      </c>
      <c r="F40" s="12">
        <v>60.0</v>
      </c>
      <c r="G40" s="12">
        <v>1.0</v>
      </c>
      <c r="H40" s="12" t="s">
        <v>123</v>
      </c>
      <c r="I40" s="12" t="s">
        <v>124</v>
      </c>
      <c r="J40" s="12" t="s">
        <v>125</v>
      </c>
      <c r="K40" s="12">
        <v>3.0</v>
      </c>
      <c r="L40" s="12" t="s">
        <v>358</v>
      </c>
      <c r="M40" s="12" t="s">
        <v>430</v>
      </c>
      <c r="N40" s="12">
        <v>20.0</v>
      </c>
      <c r="O40" s="12">
        <v>50.0</v>
      </c>
      <c r="P40" s="12">
        <v>35.0</v>
      </c>
      <c r="Q40" s="12">
        <v>-170.3</v>
      </c>
      <c r="R40" s="12">
        <v>0.15</v>
      </c>
      <c r="S40" s="12">
        <v>0.01</v>
      </c>
      <c r="T40" s="12">
        <v>0.21530000000000005</v>
      </c>
      <c r="U40" s="12">
        <v>0.11101371558213884</v>
      </c>
      <c r="V40" s="12">
        <v>298.52916786559615</v>
      </c>
      <c r="W40" s="12">
        <v>30.0</v>
      </c>
      <c r="X40" s="12">
        <v>342.027548390811</v>
      </c>
      <c r="Y40" s="12">
        <v>0.0035000000000000586</v>
      </c>
      <c r="Z40" s="12">
        <v>0.0035000000000000586</v>
      </c>
      <c r="AA40" s="12">
        <v>0.0</v>
      </c>
      <c r="AB40" s="12">
        <v>20.0</v>
      </c>
      <c r="AC40" s="12">
        <v>50.0</v>
      </c>
      <c r="AD40" s="12">
        <v>100.0</v>
      </c>
      <c r="AE40" s="12">
        <v>50.0</v>
      </c>
      <c r="AF40" s="12">
        <v>0.8728219971465214</v>
      </c>
      <c r="AG40" s="12">
        <v>3.927698987159346</v>
      </c>
      <c r="AH40" s="12" t="s">
        <v>378</v>
      </c>
      <c r="AI40" s="12" t="s">
        <v>79</v>
      </c>
      <c r="AJ40" s="12" t="s">
        <v>428</v>
      </c>
      <c r="AK40" s="12">
        <v>22.527758727984292</v>
      </c>
      <c r="AL40" s="12" t="s">
        <v>135</v>
      </c>
      <c r="AM40" s="12"/>
    </row>
    <row r="41" ht="15.75" customHeight="1">
      <c r="A41" s="12" t="s">
        <v>422</v>
      </c>
      <c r="B41" s="12">
        <v>70.0</v>
      </c>
      <c r="C41" s="12">
        <v>3.0</v>
      </c>
      <c r="D41" s="12" t="s">
        <v>423</v>
      </c>
      <c r="E41" s="12" t="s">
        <v>424</v>
      </c>
      <c r="F41" s="12">
        <v>60.0</v>
      </c>
      <c r="G41" s="12">
        <v>1.0</v>
      </c>
      <c r="H41" s="12" t="s">
        <v>123</v>
      </c>
      <c r="I41" s="12" t="s">
        <v>124</v>
      </c>
      <c r="J41" s="12" t="s">
        <v>125</v>
      </c>
      <c r="K41" s="12">
        <v>4.0</v>
      </c>
      <c r="L41" s="12" t="s">
        <v>368</v>
      </c>
      <c r="M41" s="12" t="s">
        <v>432</v>
      </c>
      <c r="N41" s="12">
        <v>50.0</v>
      </c>
      <c r="O41" s="12">
        <v>75.0</v>
      </c>
      <c r="P41" s="12">
        <v>62.5</v>
      </c>
      <c r="Q41" s="12">
        <v>-144.8</v>
      </c>
      <c r="R41" s="12">
        <v>0.14</v>
      </c>
      <c r="S41" s="12">
        <v>0.02</v>
      </c>
      <c r="T41" s="12">
        <v>0.22590000000000066</v>
      </c>
      <c r="U41" s="12">
        <v>0.12476527118082441</v>
      </c>
      <c r="V41" s="12">
        <v>341.6446167444143</v>
      </c>
      <c r="W41" s="12">
        <v>25.0</v>
      </c>
      <c r="X41" s="12">
        <v>285.0229569923425</v>
      </c>
      <c r="Y41" s="12">
        <v>0.013500000000000068</v>
      </c>
      <c r="Z41" s="12">
        <v>0.013500000000000068</v>
      </c>
      <c r="AA41" s="12">
        <v>0.0</v>
      </c>
      <c r="AB41" s="12">
        <v>50.0</v>
      </c>
      <c r="AC41" s="12">
        <v>75.0</v>
      </c>
      <c r="AD41" s="12">
        <v>100.0</v>
      </c>
      <c r="AE41" s="12">
        <v>75.0</v>
      </c>
      <c r="AF41" s="12">
        <v>1.198656488409083</v>
      </c>
      <c r="AG41" s="12">
        <v>4.195297709431791</v>
      </c>
      <c r="AH41" s="12" t="s">
        <v>378</v>
      </c>
      <c r="AI41" s="12" t="s">
        <v>79</v>
      </c>
      <c r="AJ41" s="12" t="s">
        <v>428</v>
      </c>
      <c r="AK41" s="12">
        <v>26.723056437416083</v>
      </c>
      <c r="AL41" s="12" t="s">
        <v>135</v>
      </c>
      <c r="AM41" s="12"/>
    </row>
    <row r="42" ht="15.75" customHeight="1">
      <c r="A42" s="12" t="s">
        <v>422</v>
      </c>
      <c r="B42" s="12">
        <v>71.0</v>
      </c>
      <c r="C42" s="12">
        <v>3.0</v>
      </c>
      <c r="D42" s="12" t="s">
        <v>423</v>
      </c>
      <c r="E42" s="12" t="s">
        <v>424</v>
      </c>
      <c r="F42" s="12">
        <v>60.0</v>
      </c>
      <c r="G42" s="12">
        <v>1.0</v>
      </c>
      <c r="H42" s="12" t="s">
        <v>123</v>
      </c>
      <c r="I42" s="12" t="s">
        <v>124</v>
      </c>
      <c r="J42" s="12" t="s">
        <v>125</v>
      </c>
      <c r="K42" s="12">
        <v>5.0</v>
      </c>
      <c r="L42" s="12" t="s">
        <v>431</v>
      </c>
      <c r="M42" s="12" t="s">
        <v>434</v>
      </c>
      <c r="N42" s="12">
        <v>75.0</v>
      </c>
      <c r="O42" s="12">
        <v>100.0</v>
      </c>
      <c r="P42" s="12">
        <v>87.5</v>
      </c>
      <c r="Q42" s="12">
        <v>-251.1</v>
      </c>
      <c r="R42" s="12">
        <v>0.09</v>
      </c>
      <c r="S42" s="12">
        <v>0.01</v>
      </c>
      <c r="T42" s="12">
        <v>0.27870000000000017</v>
      </c>
      <c r="U42" s="12">
        <v>0.16190310212617648</v>
      </c>
      <c r="V42" s="12">
        <v>304.9651897405129</v>
      </c>
      <c r="W42" s="12">
        <v>25.0</v>
      </c>
      <c r="X42" s="12">
        <v>285.0229569923425</v>
      </c>
      <c r="Y42" s="12">
        <v>0.023500000000000076</v>
      </c>
      <c r="Z42" s="12">
        <v>0.023500000000000076</v>
      </c>
      <c r="AA42" s="12">
        <v>0.0</v>
      </c>
      <c r="AB42" s="12">
        <v>75.0</v>
      </c>
      <c r="AC42" s="12">
        <v>100.0</v>
      </c>
      <c r="AD42" s="12">
        <v>100.0</v>
      </c>
      <c r="AE42" s="12">
        <v>100.0</v>
      </c>
      <c r="AF42" s="12">
        <v>1.0699671105745572</v>
      </c>
      <c r="AG42" s="12">
        <v>2.4074259987927538</v>
      </c>
      <c r="AH42" s="12" t="s">
        <v>378</v>
      </c>
      <c r="AI42" s="12" t="s">
        <v>79</v>
      </c>
      <c r="AJ42" s="12" t="s">
        <v>428</v>
      </c>
      <c r="AK42" s="12"/>
      <c r="AL42" s="12" t="s">
        <v>401</v>
      </c>
      <c r="AM42" s="12" t="s">
        <v>435</v>
      </c>
    </row>
    <row r="43" ht="15.75" customHeight="1">
      <c r="A43" s="12" t="s">
        <v>422</v>
      </c>
      <c r="B43" s="12">
        <v>87.0</v>
      </c>
      <c r="C43" s="12">
        <v>3.0</v>
      </c>
      <c r="D43" s="12" t="s">
        <v>423</v>
      </c>
      <c r="E43" s="12" t="s">
        <v>424</v>
      </c>
      <c r="F43" s="12">
        <v>60.0</v>
      </c>
      <c r="G43" s="12">
        <v>3.0</v>
      </c>
      <c r="H43" s="12" t="s">
        <v>184</v>
      </c>
      <c r="I43" s="12" t="s">
        <v>124</v>
      </c>
      <c r="J43" s="12" t="s">
        <v>125</v>
      </c>
      <c r="K43" s="12">
        <v>1.0</v>
      </c>
      <c r="L43" s="12" t="s">
        <v>67</v>
      </c>
      <c r="M43" s="12" t="s">
        <v>436</v>
      </c>
      <c r="N43" s="12">
        <v>0.0</v>
      </c>
      <c r="O43" s="12">
        <v>10.0</v>
      </c>
      <c r="P43" s="12">
        <v>5.0</v>
      </c>
      <c r="Q43" s="12">
        <v>19.0</v>
      </c>
      <c r="R43" s="12">
        <v>1.04</v>
      </c>
      <c r="S43" s="12">
        <v>0.1</v>
      </c>
      <c r="T43" s="12">
        <v>0.2363000000000004</v>
      </c>
      <c r="U43" s="12">
        <v>0.11292712066905636</v>
      </c>
      <c r="V43" s="12">
        <v>73.6885627791137</v>
      </c>
      <c r="W43" s="12">
        <v>10.0</v>
      </c>
      <c r="X43" s="12">
        <v>114.009182796937</v>
      </c>
      <c r="Y43" s="12">
        <v>0.007200000000000095</v>
      </c>
      <c r="Z43" s="12">
        <v>0.007200000000000095</v>
      </c>
      <c r="AA43" s="12">
        <v>0.0</v>
      </c>
      <c r="AB43" s="12">
        <v>0.0</v>
      </c>
      <c r="AC43" s="12">
        <v>10.0</v>
      </c>
      <c r="AD43" s="12">
        <v>100.0</v>
      </c>
      <c r="AE43" s="12">
        <v>10.0</v>
      </c>
      <c r="AF43" s="12">
        <v>0.6463388384281397</v>
      </c>
      <c r="AG43" s="12">
        <v>6.721923919652653</v>
      </c>
      <c r="AH43" s="12" t="s">
        <v>378</v>
      </c>
      <c r="AI43" s="12" t="s">
        <v>79</v>
      </c>
      <c r="AJ43" s="12" t="s">
        <v>438</v>
      </c>
      <c r="AK43" s="12">
        <v>6.721923919652653</v>
      </c>
      <c r="AL43" s="12" t="s">
        <v>135</v>
      </c>
      <c r="AM43" s="12"/>
    </row>
    <row r="44" ht="15.75" customHeight="1">
      <c r="A44" s="12" t="s">
        <v>422</v>
      </c>
      <c r="B44" s="12">
        <v>88.0</v>
      </c>
      <c r="C44" s="12">
        <v>3.0</v>
      </c>
      <c r="D44" s="12" t="s">
        <v>423</v>
      </c>
      <c r="E44" s="12" t="s">
        <v>424</v>
      </c>
      <c r="F44" s="12">
        <v>60.0</v>
      </c>
      <c r="G44" s="12">
        <v>3.0</v>
      </c>
      <c r="H44" s="12" t="s">
        <v>184</v>
      </c>
      <c r="I44" s="12" t="s">
        <v>124</v>
      </c>
      <c r="J44" s="12" t="s">
        <v>125</v>
      </c>
      <c r="K44" s="12">
        <v>2.0</v>
      </c>
      <c r="L44" s="12" t="s">
        <v>138</v>
      </c>
      <c r="M44" s="12" t="s">
        <v>440</v>
      </c>
      <c r="N44" s="12">
        <v>10.0</v>
      </c>
      <c r="O44" s="12">
        <v>20.0</v>
      </c>
      <c r="P44" s="12">
        <v>15.0</v>
      </c>
      <c r="Q44" s="12">
        <v>-7.7</v>
      </c>
      <c r="R44" s="12">
        <v>0.26</v>
      </c>
      <c r="S44" s="12">
        <v>0.03</v>
      </c>
      <c r="T44" s="12">
        <v>0.19889999999999963</v>
      </c>
      <c r="U44" s="12">
        <v>0.09331018952899213</v>
      </c>
      <c r="V44" s="12">
        <v>106.29188414503328</v>
      </c>
      <c r="W44" s="12">
        <v>10.0</v>
      </c>
      <c r="X44" s="12">
        <v>114.009182796937</v>
      </c>
      <c r="Y44" s="12">
        <v>5.999999999999339E-4</v>
      </c>
      <c r="Z44" s="12">
        <v>5.999999999999339E-4</v>
      </c>
      <c r="AA44" s="12">
        <v>0.0</v>
      </c>
      <c r="AB44" s="12">
        <v>10.0</v>
      </c>
      <c r="AC44" s="12">
        <v>20.0</v>
      </c>
      <c r="AD44" s="12">
        <v>100.0</v>
      </c>
      <c r="AE44" s="12">
        <v>20.0</v>
      </c>
      <c r="AF44" s="12">
        <v>0.932309850289436</v>
      </c>
      <c r="AG44" s="12">
        <v>2.4240056107525336</v>
      </c>
      <c r="AH44" s="12" t="s">
        <v>378</v>
      </c>
      <c r="AI44" s="12" t="s">
        <v>79</v>
      </c>
      <c r="AJ44" s="12" t="s">
        <v>438</v>
      </c>
      <c r="AK44" s="12">
        <v>9.145929530405187</v>
      </c>
      <c r="AL44" s="12" t="s">
        <v>135</v>
      </c>
      <c r="AM44" s="12"/>
    </row>
    <row r="45" ht="15.75" customHeight="1">
      <c r="A45" s="12" t="s">
        <v>422</v>
      </c>
      <c r="B45" s="12">
        <v>89.0</v>
      </c>
      <c r="C45" s="12">
        <v>3.0</v>
      </c>
      <c r="D45" s="12" t="s">
        <v>423</v>
      </c>
      <c r="E45" s="12" t="s">
        <v>424</v>
      </c>
      <c r="F45" s="12">
        <v>60.0</v>
      </c>
      <c r="G45" s="12">
        <v>3.0</v>
      </c>
      <c r="H45" s="12" t="s">
        <v>184</v>
      </c>
      <c r="I45" s="12" t="s">
        <v>124</v>
      </c>
      <c r="J45" s="12" t="s">
        <v>125</v>
      </c>
      <c r="K45" s="12">
        <v>3.0</v>
      </c>
      <c r="L45" s="12" t="s">
        <v>358</v>
      </c>
      <c r="M45" s="12" t="s">
        <v>441</v>
      </c>
      <c r="N45" s="12">
        <v>20.0</v>
      </c>
      <c r="O45" s="12">
        <v>50.0</v>
      </c>
      <c r="P45" s="12">
        <v>35.0</v>
      </c>
      <c r="Q45" s="12">
        <v>-124.9</v>
      </c>
      <c r="R45" s="12">
        <v>0.15</v>
      </c>
      <c r="S45" s="12">
        <v>0.02</v>
      </c>
      <c r="T45" s="12">
        <v>0.16970000000000018</v>
      </c>
      <c r="U45" s="12">
        <v>0.07970503968813121</v>
      </c>
      <c r="V45" s="12">
        <v>320.8839333565338</v>
      </c>
      <c r="W45" s="12">
        <v>30.0</v>
      </c>
      <c r="X45" s="12">
        <v>342.027548390811</v>
      </c>
      <c r="Y45" s="12">
        <v>0.0</v>
      </c>
      <c r="Z45" s="12">
        <v>0.0</v>
      </c>
      <c r="AA45" s="12">
        <v>0.0</v>
      </c>
      <c r="AB45" s="12">
        <v>20.0</v>
      </c>
      <c r="AC45" s="12">
        <v>50.0</v>
      </c>
      <c r="AD45" s="12">
        <v>100.0</v>
      </c>
      <c r="AE45" s="12">
        <v>50.0</v>
      </c>
      <c r="AF45" s="12">
        <v>0.9381815437564759</v>
      </c>
      <c r="AG45" s="12">
        <v>4.221816946904141</v>
      </c>
      <c r="AH45" s="12" t="s">
        <v>378</v>
      </c>
      <c r="AI45" s="12" t="s">
        <v>79</v>
      </c>
      <c r="AJ45" s="12" t="s">
        <v>438</v>
      </c>
      <c r="AK45" s="12">
        <v>13.367746477309328</v>
      </c>
      <c r="AL45" s="12" t="s">
        <v>135</v>
      </c>
      <c r="AM45" s="12"/>
    </row>
    <row r="46" ht="15.75" customHeight="1">
      <c r="A46" s="12" t="s">
        <v>422</v>
      </c>
      <c r="B46" s="12">
        <v>90.0</v>
      </c>
      <c r="C46" s="12">
        <v>3.0</v>
      </c>
      <c r="D46" s="12" t="s">
        <v>423</v>
      </c>
      <c r="E46" s="12" t="s">
        <v>424</v>
      </c>
      <c r="F46" s="12">
        <v>60.0</v>
      </c>
      <c r="G46" s="12">
        <v>3.0</v>
      </c>
      <c r="H46" s="12" t="s">
        <v>184</v>
      </c>
      <c r="I46" s="12" t="s">
        <v>124</v>
      </c>
      <c r="J46" s="12" t="s">
        <v>125</v>
      </c>
      <c r="K46" s="12">
        <v>4.0</v>
      </c>
      <c r="L46" s="12" t="s">
        <v>368</v>
      </c>
      <c r="M46" s="12" t="s">
        <v>442</v>
      </c>
      <c r="N46" s="12">
        <v>50.0</v>
      </c>
      <c r="O46" s="12">
        <v>75.0</v>
      </c>
      <c r="P46" s="12">
        <v>62.5</v>
      </c>
      <c r="Q46" s="12">
        <v>-157.7</v>
      </c>
      <c r="R46" s="12">
        <v>0.11</v>
      </c>
      <c r="S46" s="12">
        <v>0.01</v>
      </c>
      <c r="T46" s="12">
        <v>0.16929999999999978</v>
      </c>
      <c r="U46" s="12">
        <v>0.08402819138376007</v>
      </c>
      <c r="V46" s="12">
        <v>289.50354104665536</v>
      </c>
      <c r="W46" s="12">
        <v>25.0</v>
      </c>
      <c r="X46" s="12">
        <v>285.0229569923425</v>
      </c>
      <c r="Y46" s="12">
        <v>1.9999999999997797E-4</v>
      </c>
      <c r="Z46" s="12">
        <v>1.9999999999997797E-4</v>
      </c>
      <c r="AA46" s="12">
        <v>0.0</v>
      </c>
      <c r="AB46" s="12">
        <v>50.0</v>
      </c>
      <c r="AC46" s="12">
        <v>75.0</v>
      </c>
      <c r="AD46" s="12">
        <v>100.0</v>
      </c>
      <c r="AE46" s="12">
        <v>75.0</v>
      </c>
      <c r="AF46" s="12">
        <v>1.0157200812930773</v>
      </c>
      <c r="AG46" s="12">
        <v>2.7932302235559625</v>
      </c>
      <c r="AH46" s="12" t="s">
        <v>378</v>
      </c>
      <c r="AI46" s="12" t="s">
        <v>79</v>
      </c>
      <c r="AJ46" s="12" t="s">
        <v>438</v>
      </c>
      <c r="AK46" s="12">
        <v>16.16097670086529</v>
      </c>
      <c r="AL46" s="12" t="s">
        <v>135</v>
      </c>
      <c r="AM46" s="12"/>
    </row>
    <row r="47" ht="15.75" customHeight="1">
      <c r="A47" s="12" t="s">
        <v>422</v>
      </c>
      <c r="B47" s="12">
        <v>91.0</v>
      </c>
      <c r="C47" s="12">
        <v>3.0</v>
      </c>
      <c r="D47" s="12" t="s">
        <v>423</v>
      </c>
      <c r="E47" s="12" t="s">
        <v>424</v>
      </c>
      <c r="F47" s="12">
        <v>60.0</v>
      </c>
      <c r="G47" s="12">
        <v>3.0</v>
      </c>
      <c r="H47" s="12" t="s">
        <v>184</v>
      </c>
      <c r="I47" s="12" t="s">
        <v>124</v>
      </c>
      <c r="J47" s="12" t="s">
        <v>125</v>
      </c>
      <c r="K47" s="12">
        <v>5.0</v>
      </c>
      <c r="L47" s="12" t="s">
        <v>431</v>
      </c>
      <c r="M47" s="12" t="s">
        <v>444</v>
      </c>
      <c r="N47" s="12">
        <v>75.0</v>
      </c>
      <c r="O47" s="12">
        <v>100.0</v>
      </c>
      <c r="P47" s="12">
        <v>87.5</v>
      </c>
      <c r="Q47" s="12">
        <v>-191.3</v>
      </c>
      <c r="R47" s="12">
        <v>0.09</v>
      </c>
      <c r="S47" s="12">
        <v>0.01</v>
      </c>
      <c r="T47" s="12">
        <v>0.1785000000000001</v>
      </c>
      <c r="U47" s="12">
        <v>0.09433463693055709</v>
      </c>
      <c r="V47" s="12">
        <v>293.2649567779012</v>
      </c>
      <c r="W47" s="12">
        <v>25.0</v>
      </c>
      <c r="X47" s="12">
        <v>285.0229569923425</v>
      </c>
      <c r="Y47" s="12">
        <v>0.008799999999999919</v>
      </c>
      <c r="Z47" s="12">
        <v>0.008799999999999919</v>
      </c>
      <c r="AA47" s="12">
        <v>0.0</v>
      </c>
      <c r="AB47" s="12">
        <v>75.0</v>
      </c>
      <c r="AC47" s="12">
        <v>100.0</v>
      </c>
      <c r="AD47" s="12">
        <v>100.0</v>
      </c>
      <c r="AE47" s="12">
        <v>100.0</v>
      </c>
      <c r="AF47" s="12">
        <v>1.0289169682068107</v>
      </c>
      <c r="AG47" s="12">
        <v>2.315063178465324</v>
      </c>
      <c r="AH47" s="12" t="s">
        <v>378</v>
      </c>
      <c r="AI47" s="12" t="s">
        <v>79</v>
      </c>
      <c r="AJ47" s="12" t="s">
        <v>438</v>
      </c>
      <c r="AK47" s="12"/>
      <c r="AL47" s="12" t="s">
        <v>401</v>
      </c>
      <c r="AM47" s="12" t="s">
        <v>435</v>
      </c>
    </row>
    <row r="48" ht="15.75" customHeight="1">
      <c r="A48" s="12" t="s">
        <v>422</v>
      </c>
      <c r="B48" s="12">
        <v>107.0</v>
      </c>
      <c r="C48" s="12">
        <v>3.0</v>
      </c>
      <c r="D48" s="12" t="s">
        <v>423</v>
      </c>
      <c r="E48" s="12" t="s">
        <v>424</v>
      </c>
      <c r="F48" s="12">
        <v>60.0</v>
      </c>
      <c r="G48" s="12">
        <v>5.0</v>
      </c>
      <c r="H48" s="12" t="s">
        <v>259</v>
      </c>
      <c r="I48" s="12" t="s">
        <v>124</v>
      </c>
      <c r="J48" s="12" t="s">
        <v>125</v>
      </c>
      <c r="K48" s="12">
        <v>1.0</v>
      </c>
      <c r="L48" s="12" t="s">
        <v>67</v>
      </c>
      <c r="M48" s="12" t="s">
        <v>445</v>
      </c>
      <c r="N48" s="12">
        <v>0.0</v>
      </c>
      <c r="O48" s="12">
        <v>10.0</v>
      </c>
      <c r="P48" s="12">
        <v>5.0</v>
      </c>
      <c r="Q48" s="12">
        <v>20.5</v>
      </c>
      <c r="R48" s="12">
        <v>1.13</v>
      </c>
      <c r="S48" s="12">
        <v>0.11</v>
      </c>
      <c r="T48" s="12">
        <v>0.15159999999999973</v>
      </c>
      <c r="U48" s="12">
        <v>0.07109360345150989</v>
      </c>
      <c r="V48" s="12">
        <v>167.48302802101577</v>
      </c>
      <c r="W48" s="12">
        <v>10.0</v>
      </c>
      <c r="X48" s="12">
        <v>114.009182796937</v>
      </c>
      <c r="Y48" s="12">
        <v>0.01980000000000004</v>
      </c>
      <c r="Z48" s="12">
        <v>0.01980000000000004</v>
      </c>
      <c r="AA48" s="12">
        <v>0.0</v>
      </c>
      <c r="AB48" s="12">
        <v>0.0</v>
      </c>
      <c r="AC48" s="12">
        <v>10.0</v>
      </c>
      <c r="AD48" s="12">
        <v>100.0</v>
      </c>
      <c r="AE48" s="12">
        <v>10.0</v>
      </c>
      <c r="AF48" s="12">
        <v>1.4690310369062256</v>
      </c>
      <c r="AG48" s="12">
        <v>16.60005071704035</v>
      </c>
      <c r="AH48" s="12" t="s">
        <v>378</v>
      </c>
      <c r="AI48" s="12" t="s">
        <v>79</v>
      </c>
      <c r="AJ48" s="12" t="s">
        <v>448</v>
      </c>
      <c r="AK48" s="12">
        <v>16.60005071704035</v>
      </c>
      <c r="AL48" s="12" t="s">
        <v>135</v>
      </c>
      <c r="AM48" s="12"/>
    </row>
    <row r="49" ht="15.75" customHeight="1">
      <c r="A49" s="12" t="s">
        <v>422</v>
      </c>
      <c r="B49" s="12">
        <v>108.0</v>
      </c>
      <c r="C49" s="12">
        <v>3.0</v>
      </c>
      <c r="D49" s="12" t="s">
        <v>423</v>
      </c>
      <c r="E49" s="12" t="s">
        <v>424</v>
      </c>
      <c r="F49" s="12">
        <v>60.0</v>
      </c>
      <c r="G49" s="12">
        <v>5.0</v>
      </c>
      <c r="H49" s="12" t="s">
        <v>259</v>
      </c>
      <c r="I49" s="12" t="s">
        <v>124</v>
      </c>
      <c r="J49" s="12" t="s">
        <v>125</v>
      </c>
      <c r="K49" s="12">
        <v>2.0</v>
      </c>
      <c r="L49" s="12" t="s">
        <v>138</v>
      </c>
      <c r="M49" s="12" t="s">
        <v>450</v>
      </c>
      <c r="N49" s="12">
        <v>10.0</v>
      </c>
      <c r="O49" s="12">
        <v>20.0</v>
      </c>
      <c r="P49" s="12">
        <v>15.0</v>
      </c>
      <c r="Q49" s="12">
        <v>-43.5</v>
      </c>
      <c r="R49" s="12">
        <v>0.22</v>
      </c>
      <c r="S49" s="12">
        <v>0.03</v>
      </c>
      <c r="T49" s="12">
        <v>0.16489999999999982</v>
      </c>
      <c r="U49" s="12">
        <v>0.08467265725288822</v>
      </c>
      <c r="V49" s="12">
        <v>96.25023669759517</v>
      </c>
      <c r="W49" s="12">
        <v>10.0</v>
      </c>
      <c r="X49" s="12">
        <v>114.009182796937</v>
      </c>
      <c r="Y49" s="12">
        <v>0.0028999999999999027</v>
      </c>
      <c r="Z49" s="12">
        <v>0.0028999999999999027</v>
      </c>
      <c r="AA49" s="12">
        <v>0.0</v>
      </c>
      <c r="AB49" s="12">
        <v>10.0</v>
      </c>
      <c r="AC49" s="12">
        <v>20.0</v>
      </c>
      <c r="AD49" s="12">
        <v>100.0</v>
      </c>
      <c r="AE49" s="12">
        <v>20.0</v>
      </c>
      <c r="AF49" s="12">
        <v>0.8442323182776208</v>
      </c>
      <c r="AG49" s="12">
        <v>1.8573111002107658</v>
      </c>
      <c r="AH49" s="12" t="s">
        <v>378</v>
      </c>
      <c r="AI49" s="12" t="s">
        <v>79</v>
      </c>
      <c r="AJ49" s="12" t="s">
        <v>448</v>
      </c>
      <c r="AK49" s="12">
        <v>18.457361817251115</v>
      </c>
      <c r="AL49" s="12" t="s">
        <v>135</v>
      </c>
      <c r="AM49" s="12"/>
    </row>
    <row r="50" ht="15.75" customHeight="1">
      <c r="A50" s="12" t="s">
        <v>422</v>
      </c>
      <c r="B50" s="12">
        <v>109.0</v>
      </c>
      <c r="C50" s="12">
        <v>3.0</v>
      </c>
      <c r="D50" s="12" t="s">
        <v>423</v>
      </c>
      <c r="E50" s="12" t="s">
        <v>424</v>
      </c>
      <c r="F50" s="12">
        <v>60.0</v>
      </c>
      <c r="G50" s="12">
        <v>5.0</v>
      </c>
      <c r="H50" s="12" t="s">
        <v>259</v>
      </c>
      <c r="I50" s="12" t="s">
        <v>124</v>
      </c>
      <c r="J50" s="12" t="s">
        <v>125</v>
      </c>
      <c r="K50" s="12">
        <v>3.0</v>
      </c>
      <c r="L50" s="12" t="s">
        <v>358</v>
      </c>
      <c r="M50" s="12" t="s">
        <v>453</v>
      </c>
      <c r="N50" s="12">
        <v>20.0</v>
      </c>
      <c r="O50" s="12">
        <v>50.0</v>
      </c>
      <c r="P50" s="12">
        <v>35.0</v>
      </c>
      <c r="Q50" s="12">
        <v>-147.4</v>
      </c>
      <c r="R50" s="12">
        <v>0.12</v>
      </c>
      <c r="S50" s="12">
        <v>0.02</v>
      </c>
      <c r="T50" s="12">
        <v>0.22889999999999988</v>
      </c>
      <c r="U50" s="12">
        <v>0.10298749212633847</v>
      </c>
      <c r="V50" s="12">
        <v>282.90438670201917</v>
      </c>
      <c r="W50" s="12">
        <v>30.0</v>
      </c>
      <c r="X50" s="12">
        <v>342.027548390811</v>
      </c>
      <c r="Y50" s="12">
        <v>0.001100000000000101</v>
      </c>
      <c r="Z50" s="12">
        <v>0.001100000000000101</v>
      </c>
      <c r="AA50" s="12">
        <v>0.0</v>
      </c>
      <c r="AB50" s="12">
        <v>20.0</v>
      </c>
      <c r="AC50" s="12">
        <v>50.0</v>
      </c>
      <c r="AD50" s="12">
        <v>100.0</v>
      </c>
      <c r="AE50" s="12">
        <v>50.0</v>
      </c>
      <c r="AF50" s="12">
        <v>0.82713918230576</v>
      </c>
      <c r="AG50" s="12">
        <v>2.977701056300736</v>
      </c>
      <c r="AH50" s="12" t="s">
        <v>378</v>
      </c>
      <c r="AI50" s="12" t="s">
        <v>79</v>
      </c>
      <c r="AJ50" s="12" t="s">
        <v>448</v>
      </c>
      <c r="AK50" s="12">
        <v>21.43506287355185</v>
      </c>
      <c r="AL50" s="12" t="s">
        <v>135</v>
      </c>
      <c r="AM50" s="12"/>
    </row>
    <row r="51" ht="15.75" customHeight="1">
      <c r="A51" s="12" t="s">
        <v>422</v>
      </c>
      <c r="B51" s="12">
        <v>110.0</v>
      </c>
      <c r="C51" s="12">
        <v>3.0</v>
      </c>
      <c r="D51" s="12" t="s">
        <v>423</v>
      </c>
      <c r="E51" s="12" t="s">
        <v>424</v>
      </c>
      <c r="F51" s="12">
        <v>60.0</v>
      </c>
      <c r="G51" s="12">
        <v>5.0</v>
      </c>
      <c r="H51" s="12" t="s">
        <v>259</v>
      </c>
      <c r="I51" s="12" t="s">
        <v>124</v>
      </c>
      <c r="J51" s="12" t="s">
        <v>125</v>
      </c>
      <c r="K51" s="12">
        <v>4.0</v>
      </c>
      <c r="L51" s="12" t="s">
        <v>368</v>
      </c>
      <c r="M51" s="12" t="s">
        <v>455</v>
      </c>
      <c r="N51" s="12">
        <v>50.0</v>
      </c>
      <c r="O51" s="12">
        <v>75.0</v>
      </c>
      <c r="P51" s="12">
        <v>62.5</v>
      </c>
      <c r="Q51" s="12">
        <v>-115.4</v>
      </c>
      <c r="R51" s="12">
        <v>0.15</v>
      </c>
      <c r="S51" s="12">
        <v>0.02</v>
      </c>
      <c r="T51" s="12">
        <v>0.14979999999999993</v>
      </c>
      <c r="U51" s="12">
        <v>0.06808781419026405</v>
      </c>
      <c r="V51" s="12">
        <v>242.3489871909443</v>
      </c>
      <c r="W51" s="12">
        <v>25.0</v>
      </c>
      <c r="X51" s="12">
        <v>285.0229569923425</v>
      </c>
      <c r="Y51" s="12">
        <v>0.0</v>
      </c>
      <c r="Z51" s="12">
        <v>0.0</v>
      </c>
      <c r="AA51" s="12">
        <v>0.0</v>
      </c>
      <c r="AB51" s="12">
        <v>50.0</v>
      </c>
      <c r="AC51" s="12">
        <v>75.0</v>
      </c>
      <c r="AD51" s="12">
        <v>100.0</v>
      </c>
      <c r="AE51" s="12">
        <v>75.0</v>
      </c>
      <c r="AF51" s="12">
        <v>0.8502788327940032</v>
      </c>
      <c r="AG51" s="12">
        <v>3.1885456229775113</v>
      </c>
      <c r="AH51" s="12" t="s">
        <v>378</v>
      </c>
      <c r="AI51" s="12" t="s">
        <v>79</v>
      </c>
      <c r="AJ51" s="12" t="s">
        <v>448</v>
      </c>
      <c r="AK51" s="12">
        <v>24.62360849652936</v>
      </c>
      <c r="AL51" s="12" t="s">
        <v>135</v>
      </c>
      <c r="AM51" s="12"/>
    </row>
    <row r="52" ht="15.75" customHeight="1">
      <c r="A52" s="12" t="s">
        <v>422</v>
      </c>
      <c r="B52" s="12">
        <v>111.0</v>
      </c>
      <c r="C52" s="12">
        <v>3.0</v>
      </c>
      <c r="D52" s="12" t="s">
        <v>423</v>
      </c>
      <c r="E52" s="12" t="s">
        <v>424</v>
      </c>
      <c r="F52" s="12">
        <v>60.0</v>
      </c>
      <c r="G52" s="12">
        <v>5.0</v>
      </c>
      <c r="H52" s="12" t="s">
        <v>259</v>
      </c>
      <c r="I52" s="12" t="s">
        <v>124</v>
      </c>
      <c r="J52" s="12" t="s">
        <v>125</v>
      </c>
      <c r="K52" s="12">
        <v>5.0</v>
      </c>
      <c r="L52" s="12" t="s">
        <v>431</v>
      </c>
      <c r="M52" s="12" t="s">
        <v>458</v>
      </c>
      <c r="N52" s="12"/>
      <c r="O52" s="12"/>
      <c r="P52" s="12"/>
      <c r="Q52" s="12"/>
      <c r="R52" s="12"/>
      <c r="S52" s="12"/>
      <c r="T52" s="12"/>
      <c r="U52" s="12"/>
      <c r="V52" s="12"/>
      <c r="W52" s="12">
        <v>25.0</v>
      </c>
      <c r="X52" s="12">
        <v>285.0229569923425</v>
      </c>
      <c r="Y52" s="12">
        <v>0.0</v>
      </c>
      <c r="Z52" s="12">
        <v>0.0</v>
      </c>
      <c r="AA52" s="12">
        <v>0.0</v>
      </c>
      <c r="AB52" s="12">
        <v>75.0</v>
      </c>
      <c r="AC52" s="12">
        <v>100.0</v>
      </c>
      <c r="AD52" s="12">
        <v>100.0</v>
      </c>
      <c r="AE52" s="12">
        <v>100.0</v>
      </c>
      <c r="AF52" s="12"/>
      <c r="AG52" s="12"/>
      <c r="AH52" s="12" t="s">
        <v>378</v>
      </c>
      <c r="AI52" s="12" t="s">
        <v>79</v>
      </c>
      <c r="AJ52" s="12" t="s">
        <v>448</v>
      </c>
      <c r="AK52" s="12"/>
      <c r="AL52" s="12" t="s">
        <v>401</v>
      </c>
      <c r="AM52" s="12" t="s">
        <v>435</v>
      </c>
    </row>
    <row r="53" ht="15.75" customHeight="1">
      <c r="A53" s="12" t="s">
        <v>422</v>
      </c>
      <c r="B53" s="12">
        <v>122.0</v>
      </c>
      <c r="C53" s="12">
        <v>4.0</v>
      </c>
      <c r="D53" s="12" t="s">
        <v>460</v>
      </c>
      <c r="E53" s="12" t="s">
        <v>424</v>
      </c>
      <c r="F53" s="12">
        <v>20.0</v>
      </c>
      <c r="G53" s="12">
        <v>1.0</v>
      </c>
      <c r="H53" s="12" t="s">
        <v>123</v>
      </c>
      <c r="I53" s="12" t="s">
        <v>124</v>
      </c>
      <c r="J53" s="12" t="s">
        <v>125</v>
      </c>
      <c r="K53" s="12">
        <v>1.0</v>
      </c>
      <c r="L53" s="12" t="s">
        <v>67</v>
      </c>
      <c r="M53" s="12" t="s">
        <v>461</v>
      </c>
      <c r="N53" s="12">
        <v>0.0</v>
      </c>
      <c r="O53" s="12">
        <v>10.0</v>
      </c>
      <c r="P53" s="12">
        <v>5.0</v>
      </c>
      <c r="Q53" s="12">
        <v>8.4</v>
      </c>
      <c r="R53" s="12">
        <v>1.03</v>
      </c>
      <c r="S53" s="12">
        <v>0.1</v>
      </c>
      <c r="T53" s="12">
        <v>0.1652</v>
      </c>
      <c r="U53" s="12">
        <v>0.085317357847441</v>
      </c>
      <c r="V53" s="12">
        <v>111.79218605757791</v>
      </c>
      <c r="W53" s="12">
        <v>10.0</v>
      </c>
      <c r="X53" s="12">
        <v>114.009182796937</v>
      </c>
      <c r="Y53" s="12">
        <v>0.027800000000000047</v>
      </c>
      <c r="Z53" s="12">
        <v>0.027800000000000047</v>
      </c>
      <c r="AA53" s="12">
        <v>-23.0</v>
      </c>
      <c r="AB53" s="12">
        <v>0.0</v>
      </c>
      <c r="AC53" s="12">
        <v>10.0</v>
      </c>
      <c r="AD53" s="12">
        <v>77.0</v>
      </c>
      <c r="AE53" s="12">
        <v>10.0</v>
      </c>
      <c r="AF53" s="12">
        <v>0.9805542265546469</v>
      </c>
      <c r="AG53" s="12">
        <v>10.099708533512864</v>
      </c>
      <c r="AH53" s="12" t="s">
        <v>376</v>
      </c>
      <c r="AI53" s="12" t="s">
        <v>79</v>
      </c>
      <c r="AJ53" s="12" t="s">
        <v>463</v>
      </c>
      <c r="AK53" s="12">
        <v>10.099708533512864</v>
      </c>
      <c r="AL53" s="12" t="s">
        <v>135</v>
      </c>
      <c r="AM53" s="12"/>
    </row>
    <row r="54" ht="15.75" customHeight="1">
      <c r="A54" s="12" t="s">
        <v>422</v>
      </c>
      <c r="B54" s="12">
        <v>123.0</v>
      </c>
      <c r="C54" s="12">
        <v>4.0</v>
      </c>
      <c r="D54" s="12" t="s">
        <v>460</v>
      </c>
      <c r="E54" s="12" t="s">
        <v>424</v>
      </c>
      <c r="F54" s="12">
        <v>20.0</v>
      </c>
      <c r="G54" s="12">
        <v>1.0</v>
      </c>
      <c r="H54" s="12" t="s">
        <v>123</v>
      </c>
      <c r="I54" s="12" t="s">
        <v>124</v>
      </c>
      <c r="J54" s="12" t="s">
        <v>125</v>
      </c>
      <c r="K54" s="12">
        <v>2.0</v>
      </c>
      <c r="L54" s="12" t="s">
        <v>138</v>
      </c>
      <c r="M54" s="12" t="s">
        <v>465</v>
      </c>
      <c r="N54" s="12">
        <v>10.0</v>
      </c>
      <c r="O54" s="12">
        <v>20.0</v>
      </c>
      <c r="P54" s="12">
        <v>15.0</v>
      </c>
      <c r="Q54" s="12">
        <v>11.3</v>
      </c>
      <c r="R54" s="12">
        <v>0.31</v>
      </c>
      <c r="S54" s="12">
        <v>0.03</v>
      </c>
      <c r="T54" s="12">
        <v>0.16920000000000002</v>
      </c>
      <c r="U54" s="12">
        <v>0.08122119815668202</v>
      </c>
      <c r="V54" s="12">
        <v>95.35514118273842</v>
      </c>
      <c r="W54" s="12">
        <v>10.0</v>
      </c>
      <c r="X54" s="12">
        <v>114.009182796937</v>
      </c>
      <c r="Y54" s="12">
        <v>0.0</v>
      </c>
      <c r="Z54" s="12">
        <v>0.0</v>
      </c>
      <c r="AA54" s="12">
        <v>-23.0</v>
      </c>
      <c r="AB54" s="12">
        <v>10.0</v>
      </c>
      <c r="AC54" s="12">
        <v>20.0</v>
      </c>
      <c r="AD54" s="12">
        <v>77.0</v>
      </c>
      <c r="AE54" s="12">
        <v>20.0</v>
      </c>
      <c r="AF54" s="12">
        <v>0.8363812356463997</v>
      </c>
      <c r="AG54" s="12">
        <v>2.592781830503839</v>
      </c>
      <c r="AH54" s="12" t="s">
        <v>376</v>
      </c>
      <c r="AI54" s="12" t="s">
        <v>79</v>
      </c>
      <c r="AJ54" s="12" t="s">
        <v>463</v>
      </c>
      <c r="AK54" s="12">
        <v>12.692490364016702</v>
      </c>
      <c r="AL54" s="12" t="s">
        <v>135</v>
      </c>
      <c r="AM54" s="12"/>
    </row>
    <row r="55" ht="15.75" customHeight="1">
      <c r="A55" s="12" t="s">
        <v>422</v>
      </c>
      <c r="B55" s="12">
        <v>124.0</v>
      </c>
      <c r="C55" s="12">
        <v>4.0</v>
      </c>
      <c r="D55" s="12" t="s">
        <v>460</v>
      </c>
      <c r="E55" s="12" t="s">
        <v>424</v>
      </c>
      <c r="F55" s="12">
        <v>20.0</v>
      </c>
      <c r="G55" s="12">
        <v>1.0</v>
      </c>
      <c r="H55" s="12" t="s">
        <v>123</v>
      </c>
      <c r="I55" s="12" t="s">
        <v>124</v>
      </c>
      <c r="J55" s="12" t="s">
        <v>125</v>
      </c>
      <c r="K55" s="12">
        <v>3.0</v>
      </c>
      <c r="L55" s="12" t="s">
        <v>358</v>
      </c>
      <c r="M55" s="12" t="s">
        <v>468</v>
      </c>
      <c r="N55" s="12">
        <v>20.0</v>
      </c>
      <c r="O55" s="12">
        <v>50.0</v>
      </c>
      <c r="P55" s="12">
        <v>35.0</v>
      </c>
      <c r="Q55" s="12">
        <v>-104.8</v>
      </c>
      <c r="R55" s="12">
        <v>0.16</v>
      </c>
      <c r="S55" s="12">
        <v>0.02</v>
      </c>
      <c r="T55" s="12">
        <v>0.15890000000000004</v>
      </c>
      <c r="U55" s="12">
        <v>0.08697318007662838</v>
      </c>
      <c r="V55" s="12">
        <v>357.9941135001762</v>
      </c>
      <c r="W55" s="12">
        <v>30.0</v>
      </c>
      <c r="X55" s="12">
        <v>342.027548390811</v>
      </c>
      <c r="Y55" s="12">
        <v>0.007800000000000029</v>
      </c>
      <c r="Z55" s="12">
        <v>0.007800000000000029</v>
      </c>
      <c r="AA55" s="12">
        <v>-23.0</v>
      </c>
      <c r="AB55" s="12">
        <v>20.0</v>
      </c>
      <c r="AC55" s="12">
        <v>50.0</v>
      </c>
      <c r="AD55" s="12">
        <v>77.0</v>
      </c>
      <c r="AE55" s="12">
        <v>50.0</v>
      </c>
      <c r="AF55" s="12">
        <v>1.0466821026098205</v>
      </c>
      <c r="AG55" s="12">
        <v>5.024074092527139</v>
      </c>
      <c r="AH55" s="12" t="s">
        <v>376</v>
      </c>
      <c r="AI55" s="12" t="s">
        <v>79</v>
      </c>
      <c r="AJ55" s="12" t="s">
        <v>463</v>
      </c>
      <c r="AK55" s="12">
        <v>17.716564456543843</v>
      </c>
      <c r="AL55" s="12" t="s">
        <v>135</v>
      </c>
      <c r="AM55" s="12"/>
    </row>
    <row r="56" ht="15.75" customHeight="1">
      <c r="A56" s="12" t="s">
        <v>422</v>
      </c>
      <c r="B56" s="12">
        <v>125.0</v>
      </c>
      <c r="C56" s="12">
        <v>4.0</v>
      </c>
      <c r="D56" s="12" t="s">
        <v>460</v>
      </c>
      <c r="E56" s="12" t="s">
        <v>424</v>
      </c>
      <c r="F56" s="12">
        <v>20.0</v>
      </c>
      <c r="G56" s="12">
        <v>1.0</v>
      </c>
      <c r="H56" s="12" t="s">
        <v>123</v>
      </c>
      <c r="I56" s="12" t="s">
        <v>124</v>
      </c>
      <c r="J56" s="12" t="s">
        <v>125</v>
      </c>
      <c r="K56" s="12">
        <v>4.0</v>
      </c>
      <c r="L56" s="12" t="s">
        <v>368</v>
      </c>
      <c r="M56" s="12" t="s">
        <v>473</v>
      </c>
      <c r="N56" s="12">
        <v>50.0</v>
      </c>
      <c r="O56" s="12">
        <v>75.0</v>
      </c>
      <c r="P56" s="12">
        <v>62.5</v>
      </c>
      <c r="Q56" s="12">
        <v>-66.9</v>
      </c>
      <c r="R56" s="12">
        <v>0.21</v>
      </c>
      <c r="S56" s="12">
        <v>0.03</v>
      </c>
      <c r="T56" s="12">
        <v>0.19630000000000036</v>
      </c>
      <c r="U56" s="12">
        <v>0.099432681592544</v>
      </c>
      <c r="V56" s="12">
        <v>312.86135636950013</v>
      </c>
      <c r="W56" s="12">
        <v>25.0</v>
      </c>
      <c r="X56" s="12">
        <v>285.0229569923425</v>
      </c>
      <c r="Y56" s="12">
        <v>0.008099999999999996</v>
      </c>
      <c r="Z56" s="12">
        <v>0.008099999999999996</v>
      </c>
      <c r="AA56" s="12">
        <v>-23.0</v>
      </c>
      <c r="AB56" s="12">
        <v>50.0</v>
      </c>
      <c r="AC56" s="12">
        <v>75.0</v>
      </c>
      <c r="AD56" s="12">
        <v>77.0</v>
      </c>
      <c r="AE56" s="12">
        <v>75.0</v>
      </c>
      <c r="AF56" s="12">
        <v>1.097670726845717</v>
      </c>
      <c r="AG56" s="12">
        <v>5.7627713159400145</v>
      </c>
      <c r="AH56" s="12" t="s">
        <v>376</v>
      </c>
      <c r="AI56" s="12" t="s">
        <v>79</v>
      </c>
      <c r="AJ56" s="12" t="s">
        <v>463</v>
      </c>
      <c r="AK56" s="12">
        <v>23.479335772483857</v>
      </c>
      <c r="AL56" s="12" t="s">
        <v>135</v>
      </c>
      <c r="AM56" s="12"/>
    </row>
    <row r="57" ht="15.75" customHeight="1">
      <c r="A57" s="12" t="s">
        <v>422</v>
      </c>
      <c r="B57" s="12">
        <v>126.0</v>
      </c>
      <c r="C57" s="12">
        <v>4.0</v>
      </c>
      <c r="D57" s="12" t="s">
        <v>460</v>
      </c>
      <c r="E57" s="12" t="s">
        <v>424</v>
      </c>
      <c r="F57" s="12">
        <v>20.0</v>
      </c>
      <c r="G57" s="12">
        <v>1.0</v>
      </c>
      <c r="H57" s="12" t="s">
        <v>123</v>
      </c>
      <c r="I57" s="12" t="s">
        <v>124</v>
      </c>
      <c r="J57" s="12" t="s">
        <v>125</v>
      </c>
      <c r="K57" s="12">
        <v>5.0</v>
      </c>
      <c r="L57" s="12" t="s">
        <v>431</v>
      </c>
      <c r="M57" s="12" t="s">
        <v>477</v>
      </c>
      <c r="N57" s="12">
        <v>75.0</v>
      </c>
      <c r="O57" s="12">
        <v>100.0</v>
      </c>
      <c r="P57" s="12">
        <v>87.5</v>
      </c>
      <c r="Q57" s="12">
        <v>-82.0</v>
      </c>
      <c r="R57" s="12">
        <v>0.2</v>
      </c>
      <c r="S57" s="12">
        <v>0.03</v>
      </c>
      <c r="T57" s="12">
        <v>0.08070000000000022</v>
      </c>
      <c r="U57" s="12">
        <v>0.10981085862022075</v>
      </c>
      <c r="V57" s="12">
        <v>42.40362187346738</v>
      </c>
      <c r="W57" s="12">
        <v>2.0</v>
      </c>
      <c r="X57" s="12">
        <v>22.801836559387397</v>
      </c>
      <c r="Y57" s="12">
        <v>0.0</v>
      </c>
      <c r="Z57" s="12">
        <v>0.0</v>
      </c>
      <c r="AA57" s="12">
        <v>-23.0</v>
      </c>
      <c r="AB57" s="12">
        <v>75.0</v>
      </c>
      <c r="AC57" s="12">
        <v>100.0</v>
      </c>
      <c r="AD57" s="12">
        <v>77.0</v>
      </c>
      <c r="AE57" s="12">
        <v>77.0</v>
      </c>
      <c r="AF57" s="12">
        <v>1.8596581798587637</v>
      </c>
      <c r="AG57" s="12">
        <v>0.7438632719435055</v>
      </c>
      <c r="AH57" s="12" t="s">
        <v>376</v>
      </c>
      <c r="AI57" s="12" t="s">
        <v>79</v>
      </c>
      <c r="AJ57" s="12" t="s">
        <v>463</v>
      </c>
      <c r="AK57" s="12"/>
      <c r="AL57" s="12" t="s">
        <v>401</v>
      </c>
      <c r="AM57" s="12" t="s">
        <v>435</v>
      </c>
    </row>
    <row r="58" ht="15.75" customHeight="1">
      <c r="A58" s="12" t="s">
        <v>422</v>
      </c>
      <c r="B58" s="12">
        <v>142.0</v>
      </c>
      <c r="C58" s="12">
        <v>4.0</v>
      </c>
      <c r="D58" s="12" t="s">
        <v>460</v>
      </c>
      <c r="E58" s="12" t="s">
        <v>424</v>
      </c>
      <c r="F58" s="12">
        <v>20.0</v>
      </c>
      <c r="G58" s="12">
        <v>3.0</v>
      </c>
      <c r="H58" s="12" t="s">
        <v>184</v>
      </c>
      <c r="I58" s="12" t="s">
        <v>124</v>
      </c>
      <c r="J58" s="12" t="s">
        <v>125</v>
      </c>
      <c r="K58" s="12">
        <v>1.0</v>
      </c>
      <c r="L58" s="12" t="s">
        <v>67</v>
      </c>
      <c r="M58" s="12" t="s">
        <v>480</v>
      </c>
      <c r="N58" s="12">
        <v>0.0</v>
      </c>
      <c r="O58" s="12">
        <v>10.0</v>
      </c>
      <c r="P58" s="12">
        <v>5.0</v>
      </c>
      <c r="Q58" s="12">
        <v>-11.5</v>
      </c>
      <c r="R58" s="12">
        <v>1.02</v>
      </c>
      <c r="S58" s="12">
        <v>0.07</v>
      </c>
      <c r="T58" s="12">
        <v>0.11450000000000005</v>
      </c>
      <c r="U58" s="12">
        <v>0.054508235742168926</v>
      </c>
      <c r="V58" s="12">
        <v>110.7909791882985</v>
      </c>
      <c r="W58" s="12">
        <v>10.0</v>
      </c>
      <c r="X58" s="12">
        <v>114.009182796937</v>
      </c>
      <c r="Y58" s="12">
        <v>0.032399999999999984</v>
      </c>
      <c r="Z58" s="12">
        <v>0.032399999999999984</v>
      </c>
      <c r="AA58" s="12">
        <v>0.0</v>
      </c>
      <c r="AB58" s="12">
        <v>0.0</v>
      </c>
      <c r="AC58" s="12">
        <v>10.0</v>
      </c>
      <c r="AD58" s="12">
        <v>100.0</v>
      </c>
      <c r="AE58" s="12">
        <v>10.0</v>
      </c>
      <c r="AF58" s="12">
        <v>0.9717724175396426</v>
      </c>
      <c r="AG58" s="12">
        <v>9.912078658904356</v>
      </c>
      <c r="AH58" s="12" t="s">
        <v>376</v>
      </c>
      <c r="AI58" s="12" t="s">
        <v>79</v>
      </c>
      <c r="AJ58" s="12" t="s">
        <v>482</v>
      </c>
      <c r="AK58" s="12">
        <v>9.912078658904356</v>
      </c>
      <c r="AL58" s="12" t="s">
        <v>135</v>
      </c>
      <c r="AM58" s="12"/>
    </row>
    <row r="59" ht="15.75" customHeight="1">
      <c r="A59" s="12" t="s">
        <v>422</v>
      </c>
      <c r="B59" s="12">
        <v>143.0</v>
      </c>
      <c r="C59" s="12">
        <v>4.0</v>
      </c>
      <c r="D59" s="12" t="s">
        <v>460</v>
      </c>
      <c r="E59" s="12" t="s">
        <v>424</v>
      </c>
      <c r="F59" s="12">
        <v>20.0</v>
      </c>
      <c r="G59" s="12">
        <v>3.0</v>
      </c>
      <c r="H59" s="12" t="s">
        <v>184</v>
      </c>
      <c r="I59" s="12" t="s">
        <v>124</v>
      </c>
      <c r="J59" s="12" t="s">
        <v>125</v>
      </c>
      <c r="K59" s="12">
        <v>2.0</v>
      </c>
      <c r="L59" s="12" t="s">
        <v>138</v>
      </c>
      <c r="M59" s="12" t="s">
        <v>483</v>
      </c>
      <c r="N59" s="12">
        <v>10.0</v>
      </c>
      <c r="O59" s="12">
        <v>20.0</v>
      </c>
      <c r="P59" s="12">
        <v>15.0</v>
      </c>
      <c r="Q59" s="12">
        <v>13.2</v>
      </c>
      <c r="R59" s="12">
        <v>0.62</v>
      </c>
      <c r="S59" s="12">
        <v>0.1</v>
      </c>
      <c r="T59" s="12">
        <v>0.13880000000000026</v>
      </c>
      <c r="U59" s="12">
        <v>0.06428902269569257</v>
      </c>
      <c r="V59" s="12">
        <v>89.49636608930281</v>
      </c>
      <c r="W59" s="12">
        <v>10.0</v>
      </c>
      <c r="X59" s="12">
        <v>114.009182796937</v>
      </c>
      <c r="Y59" s="12">
        <v>-1.4427</v>
      </c>
      <c r="Z59" s="12">
        <v>0.0086</v>
      </c>
      <c r="AA59" s="12">
        <v>0.0</v>
      </c>
      <c r="AB59" s="12">
        <v>10.0</v>
      </c>
      <c r="AC59" s="12">
        <v>20.0</v>
      </c>
      <c r="AD59" s="12">
        <v>100.0</v>
      </c>
      <c r="AE59" s="12">
        <v>20.0</v>
      </c>
      <c r="AF59" s="12">
        <v>0.7849926110663012</v>
      </c>
      <c r="AG59" s="12">
        <v>4.866954188611068</v>
      </c>
      <c r="AH59" s="12" t="s">
        <v>376</v>
      </c>
      <c r="AI59" s="12" t="s">
        <v>79</v>
      </c>
      <c r="AJ59" s="12" t="s">
        <v>482</v>
      </c>
      <c r="AK59" s="12">
        <v>14.779032847515424</v>
      </c>
      <c r="AL59" s="12" t="s">
        <v>135</v>
      </c>
      <c r="AM59" s="12"/>
    </row>
    <row r="60" ht="15.75" customHeight="1">
      <c r="A60" s="12" t="s">
        <v>422</v>
      </c>
      <c r="B60" s="12">
        <v>144.0</v>
      </c>
      <c r="C60" s="12">
        <v>4.0</v>
      </c>
      <c r="D60" s="12" t="s">
        <v>460</v>
      </c>
      <c r="E60" s="12" t="s">
        <v>424</v>
      </c>
      <c r="F60" s="12">
        <v>20.0</v>
      </c>
      <c r="G60" s="12">
        <v>3.0</v>
      </c>
      <c r="H60" s="12" t="s">
        <v>184</v>
      </c>
      <c r="I60" s="12" t="s">
        <v>124</v>
      </c>
      <c r="J60" s="12" t="s">
        <v>125</v>
      </c>
      <c r="K60" s="12">
        <v>3.0</v>
      </c>
      <c r="L60" s="12" t="s">
        <v>358</v>
      </c>
      <c r="M60" s="12" t="s">
        <v>485</v>
      </c>
      <c r="N60" s="12">
        <v>20.0</v>
      </c>
      <c r="O60" s="12">
        <v>50.0</v>
      </c>
      <c r="P60" s="12">
        <v>35.0</v>
      </c>
      <c r="Q60" s="12">
        <v>-49.9</v>
      </c>
      <c r="R60" s="12">
        <v>0.23</v>
      </c>
      <c r="S60" s="12">
        <v>0.03</v>
      </c>
      <c r="T60" s="12">
        <v>0.1381000000000001</v>
      </c>
      <c r="U60" s="12">
        <v>0.0733092684998408</v>
      </c>
      <c r="V60" s="12">
        <v>330.5664177259014</v>
      </c>
      <c r="W60" s="12">
        <v>30.0</v>
      </c>
      <c r="X60" s="12">
        <v>342.027548390811</v>
      </c>
      <c r="Y60" s="12">
        <v>0.0</v>
      </c>
      <c r="Z60" s="12">
        <v>0.0</v>
      </c>
      <c r="AA60" s="12">
        <v>0.0</v>
      </c>
      <c r="AB60" s="12">
        <v>20.0</v>
      </c>
      <c r="AC60" s="12">
        <v>50.0</v>
      </c>
      <c r="AD60" s="12">
        <v>100.0</v>
      </c>
      <c r="AE60" s="12">
        <v>50.0</v>
      </c>
      <c r="AF60" s="12">
        <v>0.966490621241381</v>
      </c>
      <c r="AG60" s="12">
        <v>6.668785286565528</v>
      </c>
      <c r="AH60" s="12" t="s">
        <v>376</v>
      </c>
      <c r="AI60" s="12" t="s">
        <v>79</v>
      </c>
      <c r="AJ60" s="12" t="s">
        <v>482</v>
      </c>
      <c r="AK60" s="12">
        <v>21.447818134080954</v>
      </c>
      <c r="AL60" s="12" t="s">
        <v>135</v>
      </c>
      <c r="AM60" s="12"/>
    </row>
    <row r="61" ht="15.75" customHeight="1">
      <c r="A61" s="12" t="s">
        <v>422</v>
      </c>
      <c r="B61" s="12">
        <v>145.0</v>
      </c>
      <c r="C61" s="12">
        <v>4.0</v>
      </c>
      <c r="D61" s="12" t="s">
        <v>460</v>
      </c>
      <c r="E61" s="12" t="s">
        <v>424</v>
      </c>
      <c r="F61" s="12">
        <v>20.0</v>
      </c>
      <c r="G61" s="12">
        <v>3.0</v>
      </c>
      <c r="H61" s="12" t="s">
        <v>184</v>
      </c>
      <c r="I61" s="12" t="s">
        <v>124</v>
      </c>
      <c r="J61" s="12" t="s">
        <v>125</v>
      </c>
      <c r="K61" s="12">
        <v>4.0</v>
      </c>
      <c r="L61" s="12" t="s">
        <v>368</v>
      </c>
      <c r="M61" s="12" t="s">
        <v>488</v>
      </c>
      <c r="N61" s="12">
        <v>50.0</v>
      </c>
      <c r="O61" s="12">
        <v>75.0</v>
      </c>
      <c r="P61" s="12">
        <v>62.5</v>
      </c>
      <c r="Q61" s="12">
        <v>-192.9</v>
      </c>
      <c r="R61" s="12">
        <v>0.13</v>
      </c>
      <c r="S61" s="12">
        <v>0.02</v>
      </c>
      <c r="T61" s="12">
        <v>0.1998000000000002</v>
      </c>
      <c r="U61" s="12">
        <v>0.10278835271118439</v>
      </c>
      <c r="V61" s="12">
        <v>324.4774930024258</v>
      </c>
      <c r="W61" s="12">
        <v>25.0</v>
      </c>
      <c r="X61" s="12">
        <v>285.0229569923425</v>
      </c>
      <c r="Y61" s="12">
        <v>3.9999999999995595E-4</v>
      </c>
      <c r="Z61" s="12">
        <v>3.9999999999995595E-4</v>
      </c>
      <c r="AA61" s="12">
        <v>0.0</v>
      </c>
      <c r="AB61" s="12">
        <v>50.0</v>
      </c>
      <c r="AC61" s="12">
        <v>75.0</v>
      </c>
      <c r="AD61" s="12">
        <v>100.0</v>
      </c>
      <c r="AE61" s="12">
        <v>75.0</v>
      </c>
      <c r="AF61" s="12">
        <v>1.1384258181390747</v>
      </c>
      <c r="AG61" s="12">
        <v>3.699883908951993</v>
      </c>
      <c r="AH61" s="12" t="s">
        <v>376</v>
      </c>
      <c r="AI61" s="12" t="s">
        <v>79</v>
      </c>
      <c r="AJ61" s="12" t="s">
        <v>482</v>
      </c>
      <c r="AK61" s="12">
        <v>25.147702043032947</v>
      </c>
      <c r="AL61" s="12" t="s">
        <v>135</v>
      </c>
      <c r="AM61" s="12"/>
    </row>
    <row r="62" ht="15.75" customHeight="1">
      <c r="A62" s="12" t="s">
        <v>422</v>
      </c>
      <c r="B62" s="12">
        <v>146.0</v>
      </c>
      <c r="C62" s="12">
        <v>4.0</v>
      </c>
      <c r="D62" s="12" t="s">
        <v>460</v>
      </c>
      <c r="E62" s="12" t="s">
        <v>424</v>
      </c>
      <c r="F62" s="12">
        <v>20.0</v>
      </c>
      <c r="G62" s="12">
        <v>3.0</v>
      </c>
      <c r="H62" s="12" t="s">
        <v>184</v>
      </c>
      <c r="I62" s="12" t="s">
        <v>124</v>
      </c>
      <c r="J62" s="12" t="s">
        <v>125</v>
      </c>
      <c r="K62" s="12">
        <v>5.0</v>
      </c>
      <c r="L62" s="12" t="s">
        <v>431</v>
      </c>
      <c r="M62" s="12" t="s">
        <v>490</v>
      </c>
      <c r="N62" s="12">
        <v>75.0</v>
      </c>
      <c r="O62" s="12">
        <v>100.0</v>
      </c>
      <c r="P62" s="12">
        <v>87.5</v>
      </c>
      <c r="Q62" s="12">
        <v>-173.5</v>
      </c>
      <c r="R62" s="12">
        <v>0.1</v>
      </c>
      <c r="S62" s="12">
        <v>0.01</v>
      </c>
      <c r="T62" s="12">
        <v>0.25529999999999964</v>
      </c>
      <c r="U62" s="12">
        <v>0.13292721024679768</v>
      </c>
      <c r="V62" s="12">
        <v>339.5452033641252</v>
      </c>
      <c r="W62" s="12">
        <v>25.0</v>
      </c>
      <c r="X62" s="12">
        <v>285.0229569923425</v>
      </c>
      <c r="Y62" s="12">
        <v>0.0041999999999999815</v>
      </c>
      <c r="Z62" s="12">
        <v>0.0041999999999999815</v>
      </c>
      <c r="AA62" s="12">
        <v>0.0</v>
      </c>
      <c r="AB62" s="12">
        <v>75.0</v>
      </c>
      <c r="AC62" s="12">
        <v>100.0</v>
      </c>
      <c r="AD62" s="12">
        <v>100.0</v>
      </c>
      <c r="AE62" s="12">
        <v>100.0</v>
      </c>
      <c r="AF62" s="12">
        <v>1.1912907189902164</v>
      </c>
      <c r="AG62" s="12">
        <v>2.9782267974755414</v>
      </c>
      <c r="AH62" s="12" t="s">
        <v>376</v>
      </c>
      <c r="AI62" s="12" t="s">
        <v>79</v>
      </c>
      <c r="AJ62" s="12" t="s">
        <v>482</v>
      </c>
      <c r="AK62" s="12"/>
      <c r="AL62" s="12" t="s">
        <v>401</v>
      </c>
      <c r="AM62" s="12" t="s">
        <v>435</v>
      </c>
    </row>
    <row r="63" ht="15.75" customHeight="1">
      <c r="A63" s="12" t="s">
        <v>422</v>
      </c>
      <c r="B63" s="12">
        <v>162.0</v>
      </c>
      <c r="C63" s="12">
        <v>4.0</v>
      </c>
      <c r="D63" s="12" t="s">
        <v>460</v>
      </c>
      <c r="E63" s="12" t="s">
        <v>424</v>
      </c>
      <c r="F63" s="12">
        <v>20.0</v>
      </c>
      <c r="G63" s="12">
        <v>5.0</v>
      </c>
      <c r="H63" s="12" t="s">
        <v>259</v>
      </c>
      <c r="I63" s="12" t="s">
        <v>124</v>
      </c>
      <c r="J63" s="12" t="s">
        <v>125</v>
      </c>
      <c r="K63" s="12">
        <v>1.0</v>
      </c>
      <c r="L63" s="12" t="s">
        <v>67</v>
      </c>
      <c r="M63" s="12" t="s">
        <v>493</v>
      </c>
      <c r="N63" s="12">
        <v>0.0</v>
      </c>
      <c r="O63" s="12">
        <v>10.0</v>
      </c>
      <c r="P63" s="12">
        <v>5.0</v>
      </c>
      <c r="Q63" s="12">
        <v>-1.1</v>
      </c>
      <c r="R63" s="12">
        <v>1.01</v>
      </c>
      <c r="S63" s="12">
        <v>0.1</v>
      </c>
      <c r="T63" s="12">
        <v>0.10499999999999998</v>
      </c>
      <c r="U63" s="12">
        <v>0.05569405399671139</v>
      </c>
      <c r="V63" s="12">
        <v>98.21974425965934</v>
      </c>
      <c r="W63" s="12">
        <v>10.0</v>
      </c>
      <c r="X63" s="12">
        <v>114.009182796937</v>
      </c>
      <c r="Y63" s="12">
        <v>0.038799999999999946</v>
      </c>
      <c r="Z63" s="12">
        <v>0.038799999999999946</v>
      </c>
      <c r="AA63" s="12">
        <v>-23.0</v>
      </c>
      <c r="AB63" s="12">
        <v>0.0</v>
      </c>
      <c r="AC63" s="12">
        <v>10.0</v>
      </c>
      <c r="AD63" s="12">
        <v>77.0</v>
      </c>
      <c r="AE63" s="12">
        <v>10.0</v>
      </c>
      <c r="AF63" s="12">
        <v>0.8615073088858078</v>
      </c>
      <c r="AG63" s="12">
        <v>8.701223819746659</v>
      </c>
      <c r="AH63" s="12" t="s">
        <v>376</v>
      </c>
      <c r="AI63" s="12" t="s">
        <v>79</v>
      </c>
      <c r="AJ63" s="12" t="s">
        <v>495</v>
      </c>
      <c r="AK63" s="12">
        <v>8.701223819746659</v>
      </c>
      <c r="AL63" s="12" t="s">
        <v>135</v>
      </c>
      <c r="AM63" s="12"/>
    </row>
    <row r="64" ht="15.75" customHeight="1">
      <c r="A64" s="12" t="s">
        <v>422</v>
      </c>
      <c r="B64" s="12">
        <v>163.0</v>
      </c>
      <c r="C64" s="12">
        <v>4.0</v>
      </c>
      <c r="D64" s="12" t="s">
        <v>460</v>
      </c>
      <c r="E64" s="12" t="s">
        <v>424</v>
      </c>
      <c r="F64" s="12">
        <v>20.0</v>
      </c>
      <c r="G64" s="12">
        <v>5.0</v>
      </c>
      <c r="H64" s="12" t="s">
        <v>259</v>
      </c>
      <c r="I64" s="12" t="s">
        <v>124</v>
      </c>
      <c r="J64" s="12" t="s">
        <v>125</v>
      </c>
      <c r="K64" s="12">
        <v>2.0</v>
      </c>
      <c r="L64" s="12" t="s">
        <v>138</v>
      </c>
      <c r="M64" s="12" t="s">
        <v>496</v>
      </c>
      <c r="N64" s="12">
        <v>10.0</v>
      </c>
      <c r="O64" s="12">
        <v>20.0</v>
      </c>
      <c r="P64" s="12">
        <v>15.0</v>
      </c>
      <c r="Q64" s="12">
        <v>20.1</v>
      </c>
      <c r="R64" s="12">
        <v>0.65</v>
      </c>
      <c r="S64" s="12">
        <v>0.06</v>
      </c>
      <c r="T64" s="12">
        <v>0.12369999999999992</v>
      </c>
      <c r="U64" s="12">
        <v>0.0638649388197635</v>
      </c>
      <c r="V64" s="12">
        <v>92.19215374162866</v>
      </c>
      <c r="W64" s="12">
        <v>10.0</v>
      </c>
      <c r="X64" s="12">
        <v>114.009182796937</v>
      </c>
      <c r="Y64" s="12">
        <v>0.0484</v>
      </c>
      <c r="Z64" s="12">
        <v>0.0484</v>
      </c>
      <c r="AA64" s="12">
        <v>-23.0</v>
      </c>
      <c r="AB64" s="12">
        <v>10.0</v>
      </c>
      <c r="AC64" s="12">
        <v>20.0</v>
      </c>
      <c r="AD64" s="12">
        <v>77.0</v>
      </c>
      <c r="AE64" s="12">
        <v>20.0</v>
      </c>
      <c r="AF64" s="12">
        <v>0.8086379665209347</v>
      </c>
      <c r="AG64" s="12">
        <v>5.256146782386075</v>
      </c>
      <c r="AH64" s="12" t="s">
        <v>376</v>
      </c>
      <c r="AI64" s="12" t="s">
        <v>79</v>
      </c>
      <c r="AJ64" s="12" t="s">
        <v>495</v>
      </c>
      <c r="AK64" s="12">
        <v>13.957370602132734</v>
      </c>
      <c r="AL64" s="12" t="s">
        <v>135</v>
      </c>
      <c r="AM64" s="12"/>
    </row>
    <row r="65" ht="15.75" customHeight="1">
      <c r="A65" s="12" t="s">
        <v>422</v>
      </c>
      <c r="B65" s="12">
        <v>164.0</v>
      </c>
      <c r="C65" s="12">
        <v>4.0</v>
      </c>
      <c r="D65" s="12" t="s">
        <v>460</v>
      </c>
      <c r="E65" s="12" t="s">
        <v>424</v>
      </c>
      <c r="F65" s="12">
        <v>20.0</v>
      </c>
      <c r="G65" s="12">
        <v>5.0</v>
      </c>
      <c r="H65" s="12" t="s">
        <v>259</v>
      </c>
      <c r="I65" s="12" t="s">
        <v>124</v>
      </c>
      <c r="J65" s="12" t="s">
        <v>125</v>
      </c>
      <c r="K65" s="12">
        <v>3.0</v>
      </c>
      <c r="L65" s="12" t="s">
        <v>358</v>
      </c>
      <c r="M65" s="12" t="s">
        <v>498</v>
      </c>
      <c r="N65" s="12">
        <v>20.0</v>
      </c>
      <c r="O65" s="12">
        <v>50.0</v>
      </c>
      <c r="P65" s="12">
        <v>35.0</v>
      </c>
      <c r="Q65" s="12">
        <v>-25.3</v>
      </c>
      <c r="R65" s="12">
        <v>0.28</v>
      </c>
      <c r="S65" s="12">
        <v>0.03</v>
      </c>
      <c r="T65" s="12">
        <v>0.21769999999999978</v>
      </c>
      <c r="U65" s="12">
        <v>0.1151060117379579</v>
      </c>
      <c r="V65" s="12">
        <v>348.5049815078237</v>
      </c>
      <c r="W65" s="12">
        <v>30.0</v>
      </c>
      <c r="X65" s="12">
        <v>342.027548390811</v>
      </c>
      <c r="Y65" s="12">
        <v>0.01869999999999994</v>
      </c>
      <c r="Z65" s="12">
        <v>0.01869999999999994</v>
      </c>
      <c r="AA65" s="12">
        <v>-23.0</v>
      </c>
      <c r="AB65" s="12">
        <v>20.0</v>
      </c>
      <c r="AC65" s="12">
        <v>50.0</v>
      </c>
      <c r="AD65" s="12">
        <v>77.0</v>
      </c>
      <c r="AE65" s="12">
        <v>50.0</v>
      </c>
      <c r="AF65" s="12">
        <v>1.0189383374160592</v>
      </c>
      <c r="AG65" s="12">
        <v>8.5590820342949</v>
      </c>
      <c r="AH65" s="12" t="s">
        <v>376</v>
      </c>
      <c r="AI65" s="12" t="s">
        <v>79</v>
      </c>
      <c r="AJ65" s="12" t="s">
        <v>495</v>
      </c>
      <c r="AK65" s="12">
        <v>22.516452636427633</v>
      </c>
      <c r="AL65" s="12" t="s">
        <v>135</v>
      </c>
      <c r="AM65" s="12"/>
    </row>
    <row r="66" ht="15.75" customHeight="1">
      <c r="A66" s="12" t="s">
        <v>422</v>
      </c>
      <c r="B66" s="12">
        <v>165.0</v>
      </c>
      <c r="C66" s="12">
        <v>4.0</v>
      </c>
      <c r="D66" s="12" t="s">
        <v>460</v>
      </c>
      <c r="E66" s="12" t="s">
        <v>424</v>
      </c>
      <c r="F66" s="12">
        <v>20.0</v>
      </c>
      <c r="G66" s="12">
        <v>5.0</v>
      </c>
      <c r="H66" s="12" t="s">
        <v>259</v>
      </c>
      <c r="I66" s="12" t="s">
        <v>124</v>
      </c>
      <c r="J66" s="12" t="s">
        <v>125</v>
      </c>
      <c r="K66" s="12">
        <v>4.0</v>
      </c>
      <c r="L66" s="12" t="s">
        <v>368</v>
      </c>
      <c r="M66" s="12" t="s">
        <v>501</v>
      </c>
      <c r="N66" s="12">
        <v>50.0</v>
      </c>
      <c r="O66" s="12">
        <v>75.0</v>
      </c>
      <c r="P66" s="12">
        <v>62.5</v>
      </c>
      <c r="Q66" s="12">
        <v>-46.9</v>
      </c>
      <c r="R66" s="12">
        <v>0.3</v>
      </c>
      <c r="S66" s="12">
        <v>0.03</v>
      </c>
      <c r="T66" s="12">
        <v>0.13980000000000015</v>
      </c>
      <c r="U66" s="12">
        <v>0.07369142375204267</v>
      </c>
      <c r="V66" s="12">
        <v>302.6474765575138</v>
      </c>
      <c r="W66" s="12">
        <v>25.0</v>
      </c>
      <c r="X66" s="12">
        <v>285.0229569923425</v>
      </c>
      <c r="Y66" s="12">
        <v>0.03499999999999992</v>
      </c>
      <c r="Z66" s="12">
        <v>0.03499999999999992</v>
      </c>
      <c r="AA66" s="12">
        <v>-23.0</v>
      </c>
      <c r="AB66" s="12">
        <v>50.0</v>
      </c>
      <c r="AC66" s="12">
        <v>75.0</v>
      </c>
      <c r="AD66" s="12">
        <v>77.0</v>
      </c>
      <c r="AE66" s="12">
        <v>75.0</v>
      </c>
      <c r="AF66" s="12">
        <v>1.0618354386297553</v>
      </c>
      <c r="AG66" s="12">
        <v>7.963765789723164</v>
      </c>
      <c r="AH66" s="12" t="s">
        <v>376</v>
      </c>
      <c r="AI66" s="12" t="s">
        <v>79</v>
      </c>
      <c r="AJ66" s="12" t="s">
        <v>495</v>
      </c>
      <c r="AK66" s="12">
        <v>30.4802184261508</v>
      </c>
      <c r="AL66" s="12" t="s">
        <v>135</v>
      </c>
      <c r="AM66" s="12"/>
    </row>
    <row r="67" ht="15.75" customHeight="1">
      <c r="A67" s="12" t="s">
        <v>422</v>
      </c>
      <c r="B67" s="12">
        <v>166.0</v>
      </c>
      <c r="C67" s="12">
        <v>4.0</v>
      </c>
      <c r="D67" s="12" t="s">
        <v>460</v>
      </c>
      <c r="E67" s="12" t="s">
        <v>424</v>
      </c>
      <c r="F67" s="12">
        <v>20.0</v>
      </c>
      <c r="G67" s="12">
        <v>5.0</v>
      </c>
      <c r="H67" s="12" t="s">
        <v>259</v>
      </c>
      <c r="I67" s="12" t="s">
        <v>124</v>
      </c>
      <c r="J67" s="12" t="s">
        <v>125</v>
      </c>
      <c r="K67" s="12">
        <v>5.0</v>
      </c>
      <c r="L67" s="12" t="s">
        <v>431</v>
      </c>
      <c r="M67" s="12" t="s">
        <v>503</v>
      </c>
      <c r="N67" s="12">
        <v>75.0</v>
      </c>
      <c r="O67" s="12">
        <v>100.0</v>
      </c>
      <c r="P67" s="12">
        <v>87.5</v>
      </c>
      <c r="Q67" s="12">
        <v>-89.0</v>
      </c>
      <c r="R67" s="12">
        <v>0.13</v>
      </c>
      <c r="S67" s="12">
        <v>0.02</v>
      </c>
      <c r="T67" s="12">
        <v>0.05820000000000025</v>
      </c>
      <c r="U67" s="12">
        <v>0.0774348057477385</v>
      </c>
      <c r="V67" s="12">
        <v>40.14163991108914</v>
      </c>
      <c r="W67" s="12">
        <v>2.0</v>
      </c>
      <c r="X67" s="12">
        <v>22.801836559387397</v>
      </c>
      <c r="Y67" s="12">
        <v>0.0039000000000000146</v>
      </c>
      <c r="Z67" s="12">
        <v>0.0039000000000000146</v>
      </c>
      <c r="AA67" s="12">
        <v>-23.0</v>
      </c>
      <c r="AB67" s="12">
        <v>75.0</v>
      </c>
      <c r="AC67" s="12">
        <v>100.0</v>
      </c>
      <c r="AD67" s="12">
        <v>77.0</v>
      </c>
      <c r="AE67" s="12">
        <v>77.0</v>
      </c>
      <c r="AF67" s="12">
        <v>1.7604564354516015</v>
      </c>
      <c r="AG67" s="12">
        <v>0.4577186732174164</v>
      </c>
      <c r="AH67" s="12" t="s">
        <v>376</v>
      </c>
      <c r="AI67" s="12" t="s">
        <v>79</v>
      </c>
      <c r="AJ67" s="12" t="s">
        <v>495</v>
      </c>
      <c r="AK67" s="12"/>
      <c r="AL67" s="12" t="s">
        <v>401</v>
      </c>
      <c r="AM67" s="12" t="s">
        <v>435</v>
      </c>
    </row>
    <row r="68" ht="15.75" customHeight="1">
      <c r="A68" s="12" t="s">
        <v>504</v>
      </c>
      <c r="B68" s="12">
        <v>182.0</v>
      </c>
      <c r="C68" s="12">
        <v>5.0</v>
      </c>
      <c r="D68" s="12" t="s">
        <v>505</v>
      </c>
      <c r="E68" s="12" t="s">
        <v>506</v>
      </c>
      <c r="F68" s="12">
        <v>1996.0</v>
      </c>
      <c r="G68" s="12">
        <v>1.0</v>
      </c>
      <c r="H68" s="12" t="s">
        <v>123</v>
      </c>
      <c r="I68" s="12" t="s">
        <v>124</v>
      </c>
      <c r="J68" s="12" t="s">
        <v>125</v>
      </c>
      <c r="K68" s="12">
        <v>1.0</v>
      </c>
      <c r="L68" s="12" t="s">
        <v>67</v>
      </c>
      <c r="M68" s="12" t="s">
        <v>507</v>
      </c>
      <c r="N68" s="12">
        <v>0.0</v>
      </c>
      <c r="O68" s="12">
        <v>10.0</v>
      </c>
      <c r="P68" s="12">
        <v>5.0</v>
      </c>
      <c r="Q68" s="12">
        <v>-5.4</v>
      </c>
      <c r="R68" s="12">
        <v>2.07</v>
      </c>
      <c r="S68" s="12">
        <v>0.18</v>
      </c>
      <c r="T68" s="12">
        <v>0.10750000000000037</v>
      </c>
      <c r="U68" s="12">
        <v>0.04136524549792227</v>
      </c>
      <c r="V68" s="12">
        <v>97.34336769759449</v>
      </c>
      <c r="W68" s="12">
        <v>10.0</v>
      </c>
      <c r="X68" s="12">
        <v>114.009182796937</v>
      </c>
      <c r="Y68" s="12">
        <v>0.0297</v>
      </c>
      <c r="Z68" s="12">
        <v>0.0297</v>
      </c>
      <c r="AA68" s="12">
        <v>0.0</v>
      </c>
      <c r="AB68" s="12">
        <v>0.0</v>
      </c>
      <c r="AC68" s="12">
        <v>10.0</v>
      </c>
      <c r="AD68" s="12">
        <v>100.0</v>
      </c>
      <c r="AE68" s="12">
        <v>10.0</v>
      </c>
      <c r="AF68" s="12">
        <v>0.8538204143693743</v>
      </c>
      <c r="AG68" s="12">
        <v>17.674082577446047</v>
      </c>
      <c r="AH68" s="12" t="s">
        <v>421</v>
      </c>
      <c r="AI68" s="12" t="s">
        <v>128</v>
      </c>
      <c r="AJ68" s="12" t="s">
        <v>508</v>
      </c>
      <c r="AK68" s="12">
        <v>17.674082577446047</v>
      </c>
      <c r="AL68" s="12" t="s">
        <v>135</v>
      </c>
      <c r="AM68" s="12"/>
    </row>
    <row r="69" ht="15.75" customHeight="1">
      <c r="A69" s="12" t="s">
        <v>504</v>
      </c>
      <c r="B69" s="12">
        <v>183.0</v>
      </c>
      <c r="C69" s="12">
        <v>5.0</v>
      </c>
      <c r="D69" s="12" t="s">
        <v>505</v>
      </c>
      <c r="E69" s="12" t="s">
        <v>506</v>
      </c>
      <c r="F69" s="12">
        <v>1996.0</v>
      </c>
      <c r="G69" s="12">
        <v>1.0</v>
      </c>
      <c r="H69" s="12" t="s">
        <v>123</v>
      </c>
      <c r="I69" s="12" t="s">
        <v>124</v>
      </c>
      <c r="J69" s="12" t="s">
        <v>125</v>
      </c>
      <c r="K69" s="12">
        <v>2.0</v>
      </c>
      <c r="L69" s="12" t="s">
        <v>138</v>
      </c>
      <c r="M69" s="12" t="s">
        <v>509</v>
      </c>
      <c r="N69" s="12">
        <v>10.0</v>
      </c>
      <c r="O69" s="12">
        <v>20.0</v>
      </c>
      <c r="P69" s="12">
        <v>15.0</v>
      </c>
      <c r="Q69" s="12">
        <v>-155.6</v>
      </c>
      <c r="R69" s="12">
        <v>0.71</v>
      </c>
      <c r="S69" s="12">
        <v>0.08</v>
      </c>
      <c r="T69" s="12">
        <v>0.16159999999999997</v>
      </c>
      <c r="U69" s="12">
        <v>0.07397235191797125</v>
      </c>
      <c r="V69" s="12">
        <v>118.22464495780412</v>
      </c>
      <c r="W69" s="12">
        <v>10.0</v>
      </c>
      <c r="X69" s="12">
        <v>114.009182796937</v>
      </c>
      <c r="Y69" s="12">
        <v>0.0017</v>
      </c>
      <c r="Z69" s="12">
        <v>0.0017</v>
      </c>
      <c r="AA69" s="12">
        <v>0.0</v>
      </c>
      <c r="AB69" s="12">
        <v>10.0</v>
      </c>
      <c r="AC69" s="12">
        <v>20.0</v>
      </c>
      <c r="AD69" s="12">
        <v>100.0</v>
      </c>
      <c r="AE69" s="12">
        <v>20.0</v>
      </c>
      <c r="AF69" s="12">
        <v>1.0369747599048695</v>
      </c>
      <c r="AG69" s="12">
        <v>7.362520795324573</v>
      </c>
      <c r="AH69" s="12" t="s">
        <v>421</v>
      </c>
      <c r="AI69" s="12" t="s">
        <v>128</v>
      </c>
      <c r="AJ69" s="12" t="s">
        <v>508</v>
      </c>
      <c r="AK69" s="12">
        <v>25.03660337277062</v>
      </c>
      <c r="AL69" s="12" t="s">
        <v>135</v>
      </c>
      <c r="AM69" s="12"/>
    </row>
    <row r="70" ht="15.75" customHeight="1">
      <c r="A70" s="12" t="s">
        <v>504</v>
      </c>
      <c r="B70" s="12">
        <v>184.0</v>
      </c>
      <c r="C70" s="12">
        <v>5.0</v>
      </c>
      <c r="D70" s="12" t="s">
        <v>505</v>
      </c>
      <c r="E70" s="12" t="s">
        <v>506</v>
      </c>
      <c r="F70" s="12">
        <v>1996.0</v>
      </c>
      <c r="G70" s="12">
        <v>1.0</v>
      </c>
      <c r="H70" s="12" t="s">
        <v>123</v>
      </c>
      <c r="I70" s="12" t="s">
        <v>124</v>
      </c>
      <c r="J70" s="12" t="s">
        <v>125</v>
      </c>
      <c r="K70" s="12">
        <v>3.0</v>
      </c>
      <c r="L70" s="12" t="s">
        <v>358</v>
      </c>
      <c r="M70" s="12" t="s">
        <v>511</v>
      </c>
      <c r="N70" s="12">
        <v>20.0</v>
      </c>
      <c r="O70" s="12">
        <v>50.0</v>
      </c>
      <c r="P70" s="12">
        <v>35.0</v>
      </c>
      <c r="Q70" s="12">
        <v>-287.5</v>
      </c>
      <c r="R70" s="12">
        <v>0.47</v>
      </c>
      <c r="S70" s="12">
        <v>0.05</v>
      </c>
      <c r="T70" s="12">
        <v>0.2366999999999999</v>
      </c>
      <c r="U70" s="12">
        <v>0.10611018962657458</v>
      </c>
      <c r="V70" s="12">
        <v>365.34334805868525</v>
      </c>
      <c r="W70" s="12">
        <v>30.0</v>
      </c>
      <c r="X70" s="12">
        <v>342.027548390811</v>
      </c>
      <c r="Y70" s="12">
        <v>0.0772</v>
      </c>
      <c r="Z70" s="12">
        <v>0.0772</v>
      </c>
      <c r="AA70" s="12">
        <v>0.0</v>
      </c>
      <c r="AB70" s="12">
        <v>20.0</v>
      </c>
      <c r="AC70" s="12">
        <v>50.0</v>
      </c>
      <c r="AD70" s="12">
        <v>100.0</v>
      </c>
      <c r="AE70" s="12">
        <v>50.0</v>
      </c>
      <c r="AF70" s="12">
        <v>1.0681693617299883</v>
      </c>
      <c r="AG70" s="12">
        <v>15.061188000392834</v>
      </c>
      <c r="AH70" s="12" t="s">
        <v>421</v>
      </c>
      <c r="AI70" s="12" t="s">
        <v>128</v>
      </c>
      <c r="AJ70" s="12" t="s">
        <v>508</v>
      </c>
      <c r="AK70" s="12">
        <v>40.09779137316345</v>
      </c>
      <c r="AL70" s="12" t="s">
        <v>135</v>
      </c>
      <c r="AM70" s="12"/>
    </row>
    <row r="71" ht="15.75" customHeight="1">
      <c r="A71" s="12" t="s">
        <v>504</v>
      </c>
      <c r="B71" s="12">
        <v>185.0</v>
      </c>
      <c r="C71" s="12">
        <v>5.0</v>
      </c>
      <c r="D71" s="12" t="s">
        <v>505</v>
      </c>
      <c r="E71" s="12" t="s">
        <v>506</v>
      </c>
      <c r="F71" s="12">
        <v>1996.0</v>
      </c>
      <c r="G71" s="12">
        <v>1.0</v>
      </c>
      <c r="H71" s="12" t="s">
        <v>123</v>
      </c>
      <c r="I71" s="12" t="s">
        <v>124</v>
      </c>
      <c r="J71" s="12" t="s">
        <v>125</v>
      </c>
      <c r="K71" s="12">
        <v>4.0</v>
      </c>
      <c r="L71" s="12" t="s">
        <v>368</v>
      </c>
      <c r="M71" s="12" t="s">
        <v>513</v>
      </c>
      <c r="N71" s="12">
        <v>50.0</v>
      </c>
      <c r="O71" s="12">
        <v>75.0</v>
      </c>
      <c r="P71" s="12">
        <v>62.5</v>
      </c>
      <c r="Q71" s="12">
        <v>-416.0</v>
      </c>
      <c r="R71" s="12">
        <v>0.33</v>
      </c>
      <c r="S71" s="12">
        <v>0.05</v>
      </c>
      <c r="T71" s="12">
        <v>0.2873000000000001</v>
      </c>
      <c r="U71" s="12">
        <v>0.10937678455857161</v>
      </c>
      <c r="V71" s="12">
        <v>314.3656914893617</v>
      </c>
      <c r="W71" s="12">
        <v>25.0</v>
      </c>
      <c r="X71" s="12">
        <v>285.0229569923425</v>
      </c>
      <c r="Y71" s="12">
        <v>0.0128</v>
      </c>
      <c r="Z71" s="12">
        <v>0.0128</v>
      </c>
      <c r="AA71" s="12">
        <v>0.0</v>
      </c>
      <c r="AB71" s="12">
        <v>50.0</v>
      </c>
      <c r="AC71" s="12">
        <v>75.0</v>
      </c>
      <c r="AD71" s="12">
        <v>100.0</v>
      </c>
      <c r="AE71" s="12">
        <v>75.0</v>
      </c>
      <c r="AF71" s="12">
        <v>1.1029486705444838</v>
      </c>
      <c r="AG71" s="12">
        <v>9.099326531991991</v>
      </c>
      <c r="AH71" s="12" t="s">
        <v>421</v>
      </c>
      <c r="AI71" s="12" t="s">
        <v>128</v>
      </c>
      <c r="AJ71" s="12" t="s">
        <v>508</v>
      </c>
      <c r="AK71" s="12">
        <v>49.197117905155444</v>
      </c>
      <c r="AL71" s="12" t="s">
        <v>135</v>
      </c>
      <c r="AM71" s="12"/>
    </row>
    <row r="72" ht="15.75" customHeight="1">
      <c r="A72" s="12" t="s">
        <v>504</v>
      </c>
      <c r="B72" s="12">
        <v>186.0</v>
      </c>
      <c r="C72" s="12">
        <v>5.0</v>
      </c>
      <c r="D72" s="12" t="s">
        <v>505</v>
      </c>
      <c r="E72" s="12" t="s">
        <v>506</v>
      </c>
      <c r="F72" s="12">
        <v>1996.0</v>
      </c>
      <c r="G72" s="12">
        <v>1.0</v>
      </c>
      <c r="H72" s="12" t="s">
        <v>123</v>
      </c>
      <c r="I72" s="12" t="s">
        <v>124</v>
      </c>
      <c r="J72" s="12" t="s">
        <v>125</v>
      </c>
      <c r="K72" s="12">
        <v>5.0</v>
      </c>
      <c r="L72" s="12" t="s">
        <v>431</v>
      </c>
      <c r="M72" s="12" t="s">
        <v>515</v>
      </c>
      <c r="N72" s="12">
        <v>75.0</v>
      </c>
      <c r="O72" s="12">
        <v>100.0</v>
      </c>
      <c r="P72" s="12">
        <v>87.5</v>
      </c>
      <c r="Q72" s="12">
        <v>-481.1</v>
      </c>
      <c r="R72" s="12">
        <v>0.32</v>
      </c>
      <c r="S72" s="12">
        <v>0.04</v>
      </c>
      <c r="T72" s="12">
        <v>0.2357999999999998</v>
      </c>
      <c r="U72" s="12">
        <v>0.11048118821159152</v>
      </c>
      <c r="V72" s="12">
        <v>262.50782372051816</v>
      </c>
      <c r="W72" s="12">
        <v>25.0</v>
      </c>
      <c r="X72" s="12">
        <v>285.0229569923425</v>
      </c>
      <c r="Y72" s="12">
        <v>0.0089</v>
      </c>
      <c r="Z72" s="12">
        <v>0.0089</v>
      </c>
      <c r="AA72" s="12">
        <v>0.0</v>
      </c>
      <c r="AB72" s="12">
        <v>75.0</v>
      </c>
      <c r="AC72" s="12">
        <v>100.0</v>
      </c>
      <c r="AD72" s="12">
        <v>100.0</v>
      </c>
      <c r="AE72" s="12">
        <v>100.0</v>
      </c>
      <c r="AF72" s="12">
        <v>0.9210058954218582</v>
      </c>
      <c r="AG72" s="12">
        <v>7.368047163374866</v>
      </c>
      <c r="AH72" s="12" t="s">
        <v>421</v>
      </c>
      <c r="AI72" s="12" t="s">
        <v>128</v>
      </c>
      <c r="AJ72" s="12" t="s">
        <v>508</v>
      </c>
      <c r="AK72" s="12">
        <v>56.56516506853031</v>
      </c>
      <c r="AL72" s="12" t="inlineStr">
        <is>
          <t>no</t>
        </is>
      </c>
      <c r="AM72" s="12" t="inlineStr">
        <is>
          <t>Hedgerow 75-100 cm excluded from 0-75 cm models.</t>
        </is>
      </c>
    </row>
    <row r="73" ht="15.75" customHeight="1">
      <c r="A73" s="12" t="s">
        <v>504</v>
      </c>
      <c r="B73" s="12">
        <v>187.0</v>
      </c>
      <c r="C73" s="12">
        <v>5.0</v>
      </c>
      <c r="D73" s="12" t="s">
        <v>505</v>
      </c>
      <c r="E73" s="12" t="s">
        <v>506</v>
      </c>
      <c r="F73" s="12">
        <v>1996.0</v>
      </c>
      <c r="G73" s="12">
        <v>2.0</v>
      </c>
      <c r="H73" s="12" t="s">
        <v>184</v>
      </c>
      <c r="I73" s="12" t="s">
        <v>124</v>
      </c>
      <c r="J73" s="12" t="s">
        <v>125</v>
      </c>
      <c r="K73" s="12">
        <v>1.0</v>
      </c>
      <c r="L73" s="12" t="s">
        <v>67</v>
      </c>
      <c r="M73" s="12" t="s">
        <v>518</v>
      </c>
      <c r="N73" s="12">
        <v>0.0</v>
      </c>
      <c r="O73" s="12">
        <v>10.0</v>
      </c>
      <c r="P73" s="12">
        <v>5.0</v>
      </c>
      <c r="Q73" s="12">
        <v>-5.8</v>
      </c>
      <c r="R73" s="12">
        <v>1.92</v>
      </c>
      <c r="S73" s="12">
        <v>0.19</v>
      </c>
      <c r="T73" s="12">
        <v>0.1076999999999999</v>
      </c>
      <c r="U73" s="12">
        <v>0.04631062951496384</v>
      </c>
      <c r="V73" s="12">
        <v>72.4354678831217</v>
      </c>
      <c r="W73" s="12">
        <v>10.0</v>
      </c>
      <c r="X73" s="12">
        <v>114.009182796937</v>
      </c>
      <c r="Y73" s="12">
        <v>0.0</v>
      </c>
      <c r="Z73" s="12">
        <v>0.0</v>
      </c>
      <c r="AA73" s="12">
        <v>0.0</v>
      </c>
      <c r="AB73" s="12">
        <v>0.0</v>
      </c>
      <c r="AC73" s="12">
        <v>10.0</v>
      </c>
      <c r="AD73" s="12">
        <v>100.0</v>
      </c>
      <c r="AE73" s="12">
        <v>10.0</v>
      </c>
      <c r="AF73" s="12">
        <v>0.6353476632854855</v>
      </c>
      <c r="AG73" s="12">
        <v>12.198675135081324</v>
      </c>
      <c r="AH73" s="12" t="s">
        <v>421</v>
      </c>
      <c r="AI73" s="12" t="s">
        <v>128</v>
      </c>
      <c r="AJ73" s="12" t="s">
        <v>520</v>
      </c>
      <c r="AK73" s="12">
        <v>12.198675135081324</v>
      </c>
      <c r="AL73" s="12" t="s">
        <v>135</v>
      </c>
      <c r="AM73" s="12"/>
    </row>
    <row r="74" ht="15.75" customHeight="1">
      <c r="A74" s="12" t="s">
        <v>504</v>
      </c>
      <c r="B74" s="12">
        <v>188.0</v>
      </c>
      <c r="C74" s="12">
        <v>5.0</v>
      </c>
      <c r="D74" s="12" t="s">
        <v>505</v>
      </c>
      <c r="E74" s="12" t="s">
        <v>506</v>
      </c>
      <c r="F74" s="12">
        <v>1996.0</v>
      </c>
      <c r="G74" s="12">
        <v>2.0</v>
      </c>
      <c r="H74" s="12" t="s">
        <v>184</v>
      </c>
      <c r="I74" s="12" t="s">
        <v>124</v>
      </c>
      <c r="J74" s="12" t="s">
        <v>125</v>
      </c>
      <c r="K74" s="12">
        <v>2.0</v>
      </c>
      <c r="L74" s="12" t="s">
        <v>138</v>
      </c>
      <c r="M74" s="12" t="s">
        <v>522</v>
      </c>
      <c r="N74" s="12">
        <v>10.0</v>
      </c>
      <c r="O74" s="12">
        <v>20.0</v>
      </c>
      <c r="P74" s="12">
        <v>15.0</v>
      </c>
      <c r="Q74" s="12">
        <v>-60.0</v>
      </c>
      <c r="R74" s="12">
        <v>1.0</v>
      </c>
      <c r="S74" s="12">
        <v>0.1</v>
      </c>
      <c r="T74" s="12">
        <v>0.13889999999999958</v>
      </c>
      <c r="U74" s="12">
        <v>0.07156105100463657</v>
      </c>
      <c r="V74" s="12">
        <v>90.68078753786243</v>
      </c>
      <c r="W74" s="12">
        <v>10.0</v>
      </c>
      <c r="X74" s="12">
        <v>114.009182796937</v>
      </c>
      <c r="Y74" s="12">
        <v>0.3547</v>
      </c>
      <c r="Z74" s="12">
        <v>0.3547</v>
      </c>
      <c r="AA74" s="12">
        <v>0.0</v>
      </c>
      <c r="AB74" s="12">
        <v>10.0</v>
      </c>
      <c r="AC74" s="12">
        <v>20.0</v>
      </c>
      <c r="AD74" s="12">
        <v>100.0</v>
      </c>
      <c r="AE74" s="12">
        <v>20.0</v>
      </c>
      <c r="AF74" s="12">
        <v>0.7953814360670839</v>
      </c>
      <c r="AG74" s="12">
        <v>7.9538143606708385</v>
      </c>
      <c r="AH74" s="12" t="s">
        <v>421</v>
      </c>
      <c r="AI74" s="12" t="s">
        <v>128</v>
      </c>
      <c r="AJ74" s="12" t="s">
        <v>520</v>
      </c>
      <c r="AK74" s="12">
        <v>20.152489495752164</v>
      </c>
      <c r="AL74" s="12" t="s">
        <v>135</v>
      </c>
      <c r="AM74" s="12"/>
    </row>
    <row r="75" ht="15.75" customHeight="1">
      <c r="A75" s="12" t="s">
        <v>504</v>
      </c>
      <c r="B75" s="12">
        <v>189.0</v>
      </c>
      <c r="C75" s="12">
        <v>5.0</v>
      </c>
      <c r="D75" s="12" t="s">
        <v>505</v>
      </c>
      <c r="E75" s="12" t="s">
        <v>506</v>
      </c>
      <c r="F75" s="12">
        <v>1996.0</v>
      </c>
      <c r="G75" s="12">
        <v>2.0</v>
      </c>
      <c r="H75" s="12" t="s">
        <v>184</v>
      </c>
      <c r="I75" s="12" t="s">
        <v>124</v>
      </c>
      <c r="J75" s="12" t="s">
        <v>125</v>
      </c>
      <c r="K75" s="12">
        <v>3.0</v>
      </c>
      <c r="L75" s="12" t="s">
        <v>358</v>
      </c>
      <c r="M75" s="12" t="s">
        <v>523</v>
      </c>
      <c r="N75" s="12">
        <v>20.0</v>
      </c>
      <c r="O75" s="12">
        <v>50.0</v>
      </c>
      <c r="P75" s="12">
        <v>35.0</v>
      </c>
      <c r="Q75" s="12">
        <v>-182.0</v>
      </c>
      <c r="R75" s="12">
        <v>0.61</v>
      </c>
      <c r="S75" s="12">
        <v>0.07</v>
      </c>
      <c r="T75" s="12">
        <v>0.27719999999999967</v>
      </c>
      <c r="U75" s="12">
        <v>0.10526315789473671</v>
      </c>
      <c r="V75" s="12">
        <v>345.112380952381</v>
      </c>
      <c r="W75" s="12">
        <v>30.0</v>
      </c>
      <c r="X75" s="12">
        <v>342.027548390811</v>
      </c>
      <c r="Y75" s="12">
        <v>0.3405</v>
      </c>
      <c r="Z75" s="12">
        <v>0.3405</v>
      </c>
      <c r="AA75" s="12">
        <v>0.0</v>
      </c>
      <c r="AB75" s="12">
        <v>20.0</v>
      </c>
      <c r="AC75" s="12">
        <v>50.0</v>
      </c>
      <c r="AD75" s="12">
        <v>100.0</v>
      </c>
      <c r="AE75" s="12">
        <v>50.0</v>
      </c>
      <c r="AF75" s="12">
        <v>1.0090192517418075</v>
      </c>
      <c r="AG75" s="12">
        <v>18.465052306875076</v>
      </c>
      <c r="AH75" s="12" t="s">
        <v>421</v>
      </c>
      <c r="AI75" s="12" t="s">
        <v>128</v>
      </c>
      <c r="AJ75" s="12" t="s">
        <v>520</v>
      </c>
      <c r="AK75" s="12">
        <v>38.617541802627244</v>
      </c>
      <c r="AL75" s="12" t="s">
        <v>135</v>
      </c>
      <c r="AM75" s="12"/>
    </row>
    <row r="76" ht="15.75" customHeight="1">
      <c r="A76" s="12" t="s">
        <v>504</v>
      </c>
      <c r="B76" s="12">
        <v>190.0</v>
      </c>
      <c r="C76" s="12">
        <v>5.0</v>
      </c>
      <c r="D76" s="12" t="s">
        <v>505</v>
      </c>
      <c r="E76" s="12" t="s">
        <v>506</v>
      </c>
      <c r="F76" s="12">
        <v>1996.0</v>
      </c>
      <c r="G76" s="12">
        <v>2.0</v>
      </c>
      <c r="H76" s="12" t="s">
        <v>184</v>
      </c>
      <c r="I76" s="12" t="s">
        <v>124</v>
      </c>
      <c r="J76" s="12" t="s">
        <v>125</v>
      </c>
      <c r="K76" s="12">
        <v>4.0</v>
      </c>
      <c r="L76" s="12" t="s">
        <v>368</v>
      </c>
      <c r="M76" s="12" t="s">
        <v>524</v>
      </c>
      <c r="N76" s="12">
        <v>50.0</v>
      </c>
      <c r="O76" s="12">
        <v>75.0</v>
      </c>
      <c r="P76" s="12">
        <v>62.5</v>
      </c>
      <c r="Q76" s="12">
        <v>-247.4</v>
      </c>
      <c r="R76" s="12">
        <v>0.54</v>
      </c>
      <c r="S76" s="12">
        <v>0.06</v>
      </c>
      <c r="T76" s="12">
        <v>0.2431000000000001</v>
      </c>
      <c r="U76" s="12">
        <v>0.09721666799968012</v>
      </c>
      <c r="V76" s="12">
        <v>289.27741371141155</v>
      </c>
      <c r="W76" s="12">
        <v>25.0</v>
      </c>
      <c r="X76" s="12">
        <v>285.0229569923425</v>
      </c>
      <c r="Y76" s="12">
        <v>0.0109</v>
      </c>
      <c r="Z76" s="12">
        <v>0.0109</v>
      </c>
      <c r="AA76" s="12">
        <v>0.0</v>
      </c>
      <c r="AB76" s="12">
        <v>50.0</v>
      </c>
      <c r="AC76" s="12">
        <v>75.0</v>
      </c>
      <c r="AD76" s="12">
        <v>100.0</v>
      </c>
      <c r="AE76" s="12">
        <v>75.0</v>
      </c>
      <c r="AF76" s="12">
        <v>1.0149267159528605</v>
      </c>
      <c r="AG76" s="12">
        <v>13.701510665363617</v>
      </c>
      <c r="AH76" s="12" t="s">
        <v>421</v>
      </c>
      <c r="AI76" s="12" t="s">
        <v>128</v>
      </c>
      <c r="AJ76" s="12" t="s">
        <v>520</v>
      </c>
      <c r="AK76" s="12">
        <v>52.31905246799086</v>
      </c>
      <c r="AL76" s="12" t="s">
        <v>135</v>
      </c>
      <c r="AM76" s="12"/>
    </row>
    <row r="77" ht="15.75" customHeight="1">
      <c r="A77" s="12" t="s">
        <v>504</v>
      </c>
      <c r="B77" s="12">
        <v>191.0</v>
      </c>
      <c r="C77" s="12">
        <v>5.0</v>
      </c>
      <c r="D77" s="12" t="s">
        <v>505</v>
      </c>
      <c r="E77" s="12" t="s">
        <v>506</v>
      </c>
      <c r="F77" s="12">
        <v>1996.0</v>
      </c>
      <c r="G77" s="12">
        <v>2.0</v>
      </c>
      <c r="H77" s="12" t="s">
        <v>184</v>
      </c>
      <c r="I77" s="12" t="s">
        <v>124</v>
      </c>
      <c r="J77" s="12" t="s">
        <v>125</v>
      </c>
      <c r="K77" s="12">
        <v>5.0</v>
      </c>
      <c r="L77" s="12" t="s">
        <v>431</v>
      </c>
      <c r="M77" s="12" t="s">
        <v>526</v>
      </c>
      <c r="N77" s="12">
        <v>75.0</v>
      </c>
      <c r="O77" s="12">
        <v>100.0</v>
      </c>
      <c r="P77" s="12">
        <v>87.5</v>
      </c>
      <c r="Q77" s="12">
        <v>-124.9</v>
      </c>
      <c r="R77" s="12">
        <v>0.72</v>
      </c>
      <c r="S77" s="12">
        <v>0.07</v>
      </c>
      <c r="T77" s="12">
        <v>0.16490000000000027</v>
      </c>
      <c r="U77" s="12">
        <v>0.07553133015756701</v>
      </c>
      <c r="V77" s="12">
        <v>308.41500447170046</v>
      </c>
      <c r="W77" s="12">
        <v>25.0</v>
      </c>
      <c r="X77" s="12">
        <v>285.0229569923425</v>
      </c>
      <c r="Y77" s="12">
        <v>0.0549</v>
      </c>
      <c r="Z77" s="12">
        <v>0.0549</v>
      </c>
      <c r="AA77" s="12">
        <v>0.0</v>
      </c>
      <c r="AB77" s="12">
        <v>75.0</v>
      </c>
      <c r="AC77" s="12">
        <v>100.0</v>
      </c>
      <c r="AD77" s="12">
        <v>100.0</v>
      </c>
      <c r="AE77" s="12">
        <v>100.0</v>
      </c>
      <c r="AF77" s="12">
        <v>1.0820707487080994</v>
      </c>
      <c r="AG77" s="12">
        <v>19.477273476745786</v>
      </c>
      <c r="AH77" s="12" t="s">
        <v>421</v>
      </c>
      <c r="AI77" s="12" t="s">
        <v>128</v>
      </c>
      <c r="AJ77" s="12" t="s">
        <v>520</v>
      </c>
      <c r="AK77" s="12">
        <v>71.79632594473665</v>
      </c>
      <c r="AL77" s="12" t="inlineStr">
        <is>
          <t>no</t>
        </is>
      </c>
      <c r="AM77" s="12" t="inlineStr">
        <is>
          <t>Hedgerow 75-100 cm excluded from 0-75 cm models.</t>
        </is>
      </c>
    </row>
    <row r="78" ht="15.75" customHeight="1">
      <c r="A78" s="12" t="s">
        <v>504</v>
      </c>
      <c r="B78" s="12">
        <v>192.0</v>
      </c>
      <c r="C78" s="12">
        <v>5.0</v>
      </c>
      <c r="D78" s="12" t="s">
        <v>505</v>
      </c>
      <c r="E78" s="12" t="s">
        <v>506</v>
      </c>
      <c r="F78" s="12">
        <v>1996.0</v>
      </c>
      <c r="G78" s="12">
        <v>3.0</v>
      </c>
      <c r="H78" s="12" t="s">
        <v>259</v>
      </c>
      <c r="I78" s="12" t="s">
        <v>124</v>
      </c>
      <c r="J78" s="12" t="s">
        <v>125</v>
      </c>
      <c r="K78" s="12">
        <v>1.0</v>
      </c>
      <c r="L78" s="12" t="s">
        <v>67</v>
      </c>
      <c r="M78" s="12" t="s">
        <v>527</v>
      </c>
      <c r="N78" s="12">
        <v>0.0</v>
      </c>
      <c r="O78" s="12">
        <v>10.0</v>
      </c>
      <c r="P78" s="12">
        <v>5.0</v>
      </c>
      <c r="Q78" s="12">
        <v>-15.3</v>
      </c>
      <c r="R78" s="12">
        <v>1.96</v>
      </c>
      <c r="S78" s="12">
        <v>0.19</v>
      </c>
      <c r="T78" s="12">
        <v>0.07299999999999995</v>
      </c>
      <c r="U78" s="12">
        <v>0.034176029962546796</v>
      </c>
      <c r="V78" s="12">
        <v>90.45848800362154</v>
      </c>
      <c r="W78" s="12">
        <v>10.0</v>
      </c>
      <c r="X78" s="12">
        <v>114.009182796937</v>
      </c>
      <c r="Y78" s="12">
        <v>0.0013</v>
      </c>
      <c r="Z78" s="12">
        <v>0.0013</v>
      </c>
      <c r="AA78" s="12">
        <v>0.0</v>
      </c>
      <c r="AB78" s="12">
        <v>0.0</v>
      </c>
      <c r="AC78" s="12">
        <v>10.0</v>
      </c>
      <c r="AD78" s="12">
        <v>100.0</v>
      </c>
      <c r="AE78" s="12">
        <v>10.0</v>
      </c>
      <c r="AF78" s="12">
        <v>0.7934315972138678</v>
      </c>
      <c r="AG78" s="12">
        <v>15.55125930539181</v>
      </c>
      <c r="AH78" s="12" t="s">
        <v>421</v>
      </c>
      <c r="AI78" s="12" t="s">
        <v>128</v>
      </c>
      <c r="AJ78" s="12" t="s">
        <v>529</v>
      </c>
      <c r="AK78" s="12">
        <v>15.55125930539181</v>
      </c>
      <c r="AL78" s="12" t="s">
        <v>135</v>
      </c>
      <c r="AM78" s="12"/>
    </row>
    <row r="79" ht="15.75" customHeight="1">
      <c r="A79" s="12" t="s">
        <v>504</v>
      </c>
      <c r="B79" s="12">
        <v>193.0</v>
      </c>
      <c r="C79" s="12">
        <v>5.0</v>
      </c>
      <c r="D79" s="12" t="s">
        <v>505</v>
      </c>
      <c r="E79" s="12" t="s">
        <v>506</v>
      </c>
      <c r="F79" s="12">
        <v>1996.0</v>
      </c>
      <c r="G79" s="12">
        <v>3.0</v>
      </c>
      <c r="H79" s="12" t="s">
        <v>259</v>
      </c>
      <c r="I79" s="12" t="s">
        <v>124</v>
      </c>
      <c r="J79" s="12" t="s">
        <v>125</v>
      </c>
      <c r="K79" s="12">
        <v>2.0</v>
      </c>
      <c r="L79" s="12" t="s">
        <v>138</v>
      </c>
      <c r="M79" s="12" t="s">
        <v>530</v>
      </c>
      <c r="N79" s="12">
        <v>10.0</v>
      </c>
      <c r="O79" s="12">
        <v>20.0</v>
      </c>
      <c r="P79" s="12">
        <v>15.0</v>
      </c>
      <c r="Q79" s="12">
        <v>-39.5</v>
      </c>
      <c r="R79" s="12">
        <v>1.04</v>
      </c>
      <c r="S79" s="12">
        <v>0.12</v>
      </c>
      <c r="T79" s="12">
        <v>0.1528999999999998</v>
      </c>
      <c r="U79" s="12">
        <v>0.05484218077474885</v>
      </c>
      <c r="V79" s="12">
        <v>111.72287395015132</v>
      </c>
      <c r="W79" s="12">
        <v>10.0</v>
      </c>
      <c r="X79" s="12">
        <v>114.009182796937</v>
      </c>
      <c r="Y79" s="12">
        <v>0.0128</v>
      </c>
      <c r="Z79" s="12">
        <v>0.0128</v>
      </c>
      <c r="AA79" s="12">
        <v>0.0</v>
      </c>
      <c r="AB79" s="12">
        <v>10.0</v>
      </c>
      <c r="AC79" s="12">
        <v>20.0</v>
      </c>
      <c r="AD79" s="12">
        <v>100.0</v>
      </c>
      <c r="AE79" s="12">
        <v>20.0</v>
      </c>
      <c r="AF79" s="12">
        <v>0.9799462745833567</v>
      </c>
      <c r="AG79" s="12">
        <v>10.191441255666911</v>
      </c>
      <c r="AH79" s="12" t="s">
        <v>421</v>
      </c>
      <c r="AI79" s="12" t="s">
        <v>128</v>
      </c>
      <c r="AJ79" s="12" t="s">
        <v>529</v>
      </c>
      <c r="AK79" s="12">
        <v>25.74270056105872</v>
      </c>
      <c r="AL79" s="12" t="s">
        <v>135</v>
      </c>
      <c r="AM79" s="12"/>
    </row>
    <row r="80" ht="15.75" customHeight="1">
      <c r="A80" s="12" t="s">
        <v>504</v>
      </c>
      <c r="B80" s="12">
        <v>194.0</v>
      </c>
      <c r="C80" s="12">
        <v>5.0</v>
      </c>
      <c r="D80" s="12" t="s">
        <v>505</v>
      </c>
      <c r="E80" s="12" t="s">
        <v>506</v>
      </c>
      <c r="F80" s="12">
        <v>1996.0</v>
      </c>
      <c r="G80" s="12">
        <v>3.0</v>
      </c>
      <c r="H80" s="12" t="s">
        <v>259</v>
      </c>
      <c r="I80" s="12" t="s">
        <v>124</v>
      </c>
      <c r="J80" s="12" t="s">
        <v>125</v>
      </c>
      <c r="K80" s="12">
        <v>3.0</v>
      </c>
      <c r="L80" s="12" t="s">
        <v>358</v>
      </c>
      <c r="M80" s="12" t="s">
        <v>532</v>
      </c>
      <c r="N80" s="12">
        <v>20.0</v>
      </c>
      <c r="O80" s="12">
        <v>50.0</v>
      </c>
      <c r="P80" s="12">
        <v>35.0</v>
      </c>
      <c r="Q80" s="12">
        <v>-248.2</v>
      </c>
      <c r="R80" s="12">
        <v>0.43</v>
      </c>
      <c r="S80" s="12">
        <v>0.06</v>
      </c>
      <c r="T80" s="12">
        <v>0.21780000000000044</v>
      </c>
      <c r="U80" s="12">
        <v>0.096602501552382</v>
      </c>
      <c r="V80" s="12">
        <v>348.7590074421614</v>
      </c>
      <c r="W80" s="12">
        <v>30.0</v>
      </c>
      <c r="X80" s="12">
        <v>342.027548390811</v>
      </c>
      <c r="Y80" s="12">
        <v>0.3305</v>
      </c>
      <c r="Z80" s="12">
        <v>0.3305</v>
      </c>
      <c r="AA80" s="12">
        <v>0.0</v>
      </c>
      <c r="AB80" s="12">
        <v>20.0</v>
      </c>
      <c r="AC80" s="12">
        <v>50.0</v>
      </c>
      <c r="AD80" s="12">
        <v>100.0</v>
      </c>
      <c r="AE80" s="12">
        <v>50.0</v>
      </c>
      <c r="AF80" s="12">
        <v>1.0196810434803307</v>
      </c>
      <c r="AG80" s="12">
        <v>13.153885460896268</v>
      </c>
      <c r="AH80" s="12" t="s">
        <v>421</v>
      </c>
      <c r="AI80" s="12" t="s">
        <v>128</v>
      </c>
      <c r="AJ80" s="12" t="s">
        <v>529</v>
      </c>
      <c r="AK80" s="12">
        <v>38.89658602195499</v>
      </c>
      <c r="AL80" s="12" t="s">
        <v>135</v>
      </c>
      <c r="AM80" s="12"/>
    </row>
    <row r="81" ht="15.75" customHeight="1">
      <c r="A81" s="12" t="s">
        <v>504</v>
      </c>
      <c r="B81" s="12">
        <v>195.0</v>
      </c>
      <c r="C81" s="12">
        <v>5.0</v>
      </c>
      <c r="D81" s="12" t="s">
        <v>505</v>
      </c>
      <c r="E81" s="12" t="s">
        <v>506</v>
      </c>
      <c r="F81" s="12">
        <v>1996.0</v>
      </c>
      <c r="G81" s="12">
        <v>3.0</v>
      </c>
      <c r="H81" s="12" t="s">
        <v>259</v>
      </c>
      <c r="I81" s="12" t="s">
        <v>124</v>
      </c>
      <c r="J81" s="12" t="s">
        <v>125</v>
      </c>
      <c r="K81" s="12">
        <v>4.0</v>
      </c>
      <c r="L81" s="12" t="s">
        <v>368</v>
      </c>
      <c r="M81" s="12" t="s">
        <v>533</v>
      </c>
      <c r="N81" s="12">
        <v>50.0</v>
      </c>
      <c r="O81" s="12">
        <v>75.0</v>
      </c>
      <c r="P81" s="12">
        <v>62.5</v>
      </c>
      <c r="Q81" s="12">
        <v>-322.8</v>
      </c>
      <c r="R81" s="12">
        <v>0.44</v>
      </c>
      <c r="S81" s="12">
        <v>0.05</v>
      </c>
      <c r="T81" s="12">
        <v>0.24910000000000032</v>
      </c>
      <c r="U81" s="12">
        <v>0.09477248516207591</v>
      </c>
      <c r="V81" s="12">
        <v>268.12877011294523</v>
      </c>
      <c r="W81" s="12">
        <v>25.0</v>
      </c>
      <c r="X81" s="12">
        <v>285.0229569923425</v>
      </c>
      <c r="Y81" s="12">
        <v>0.4594</v>
      </c>
      <c r="Z81" s="12">
        <v>0.4594</v>
      </c>
      <c r="AA81" s="12">
        <v>0.0</v>
      </c>
      <c r="AB81" s="12">
        <v>50.0</v>
      </c>
      <c r="AC81" s="12">
        <v>75.0</v>
      </c>
      <c r="AD81" s="12">
        <v>100.0</v>
      </c>
      <c r="AE81" s="12">
        <v>75.0</v>
      </c>
      <c r="AF81" s="12">
        <v>0.940726925796889</v>
      </c>
      <c r="AG81" s="12">
        <v>10.347996183765778</v>
      </c>
      <c r="AH81" s="12" t="s">
        <v>421</v>
      </c>
      <c r="AI81" s="12" t="s">
        <v>128</v>
      </c>
      <c r="AJ81" s="12" t="s">
        <v>529</v>
      </c>
      <c r="AK81" s="12">
        <v>49.24458220572077</v>
      </c>
      <c r="AL81" s="12" t="s">
        <v>135</v>
      </c>
      <c r="AM81" s="12"/>
    </row>
    <row r="82" ht="15.75" customHeight="1">
      <c r="A82" s="12" t="s">
        <v>504</v>
      </c>
      <c r="B82" s="12">
        <v>196.0</v>
      </c>
      <c r="C82" s="12">
        <v>5.0</v>
      </c>
      <c r="D82" s="12" t="s">
        <v>505</v>
      </c>
      <c r="E82" s="12" t="s">
        <v>506</v>
      </c>
      <c r="F82" s="12">
        <v>1996.0</v>
      </c>
      <c r="G82" s="12">
        <v>3.0</v>
      </c>
      <c r="H82" s="12" t="s">
        <v>259</v>
      </c>
      <c r="I82" s="12" t="s">
        <v>124</v>
      </c>
      <c r="J82" s="12" t="s">
        <v>125</v>
      </c>
      <c r="K82" s="12">
        <v>5.0</v>
      </c>
      <c r="L82" s="12" t="s">
        <v>431</v>
      </c>
      <c r="M82" s="12" t="s">
        <v>534</v>
      </c>
      <c r="N82" s="12">
        <v>75.0</v>
      </c>
      <c r="O82" s="12">
        <v>100.0</v>
      </c>
      <c r="P82" s="12">
        <v>87.5</v>
      </c>
      <c r="Q82" s="12">
        <v>-118.0</v>
      </c>
      <c r="R82" s="12">
        <v>0.56</v>
      </c>
      <c r="S82" s="12">
        <v>0.06</v>
      </c>
      <c r="T82" s="12">
        <v>0.17059999999999986</v>
      </c>
      <c r="U82" s="12">
        <v>0.0831951623914951</v>
      </c>
      <c r="V82" s="12">
        <v>291.95108229785706</v>
      </c>
      <c r="W82" s="12">
        <v>25.0</v>
      </c>
      <c r="X82" s="12">
        <v>285.0229569923425</v>
      </c>
      <c r="Y82" s="12">
        <v>1.2518</v>
      </c>
      <c r="Z82" s="12">
        <v>1.2518</v>
      </c>
      <c r="AA82" s="12">
        <v>0.0</v>
      </c>
      <c r="AB82" s="12">
        <v>75.0</v>
      </c>
      <c r="AC82" s="12">
        <v>100.0</v>
      </c>
      <c r="AD82" s="12">
        <v>100.0</v>
      </c>
      <c r="AE82" s="12">
        <v>100.0</v>
      </c>
      <c r="AF82" s="12">
        <v>1.024307253628348</v>
      </c>
      <c r="AG82" s="12">
        <v>14.340301550796871</v>
      </c>
      <c r="AH82" s="12" t="s">
        <v>421</v>
      </c>
      <c r="AI82" s="12" t="s">
        <v>128</v>
      </c>
      <c r="AJ82" s="12" t="s">
        <v>529</v>
      </c>
      <c r="AK82" s="12">
        <v>63.58488375651764</v>
      </c>
      <c r="AL82" s="12" t="inlineStr">
        <is>
          <t>no</t>
        </is>
      </c>
      <c r="AM82" s="12" t="inlineStr">
        <is>
          <t>Hedgerow 75-100 cm excluded from 0-75 cm models.</t>
        </is>
      </c>
    </row>
    <row r="83" ht="15.75" customHeight="1">
      <c r="A83" s="12" t="s">
        <v>504</v>
      </c>
      <c r="B83" s="12">
        <v>197.0</v>
      </c>
      <c r="C83" s="12">
        <v>6.0</v>
      </c>
      <c r="D83" s="12" t="s">
        <v>535</v>
      </c>
      <c r="E83" s="12" t="s">
        <v>506</v>
      </c>
      <c r="F83" s="12">
        <v>2015.0</v>
      </c>
      <c r="G83" s="12">
        <v>1.0</v>
      </c>
      <c r="H83" s="12" t="s">
        <v>123</v>
      </c>
      <c r="I83" s="12" t="s">
        <v>124</v>
      </c>
      <c r="J83" s="12" t="s">
        <v>125</v>
      </c>
      <c r="K83" s="12">
        <v>1.0</v>
      </c>
      <c r="L83" s="12" t="s">
        <v>67</v>
      </c>
      <c r="M83" s="12" t="s">
        <v>536</v>
      </c>
      <c r="N83" s="12">
        <v>0.0</v>
      </c>
      <c r="O83" s="12">
        <v>10.0</v>
      </c>
      <c r="P83" s="12">
        <v>5.0</v>
      </c>
      <c r="Q83" s="12">
        <v>-19.6</v>
      </c>
      <c r="R83" s="12">
        <v>2.54</v>
      </c>
      <c r="S83" s="12">
        <v>0.19</v>
      </c>
      <c r="T83" s="12">
        <v>0.05669999999999975</v>
      </c>
      <c r="U83" s="12">
        <v>0.02699999999999988</v>
      </c>
      <c r="V83" s="12">
        <v>86.23174294060371</v>
      </c>
      <c r="W83" s="12">
        <v>10.0</v>
      </c>
      <c r="X83" s="12">
        <v>114.009182796937</v>
      </c>
      <c r="Y83" s="12">
        <v>0.1114</v>
      </c>
      <c r="Z83" s="12">
        <v>0.1114</v>
      </c>
      <c r="AA83" s="12">
        <v>-14.0</v>
      </c>
      <c r="AB83" s="12">
        <v>0.0</v>
      </c>
      <c r="AC83" s="12">
        <v>10.0</v>
      </c>
      <c r="AD83" s="12">
        <v>86.0</v>
      </c>
      <c r="AE83" s="12">
        <v>10.0</v>
      </c>
      <c r="AF83" s="12">
        <v>0.756357872454818</v>
      </c>
      <c r="AG83" s="12">
        <v>19.211489960352377</v>
      </c>
      <c r="AH83" s="12" t="s">
        <v>420</v>
      </c>
      <c r="AI83" s="12" t="s">
        <v>128</v>
      </c>
      <c r="AJ83" s="12" t="s">
        <v>537</v>
      </c>
      <c r="AK83" s="12">
        <v>19.211489960352377</v>
      </c>
      <c r="AL83" s="12" t="s">
        <v>135</v>
      </c>
      <c r="AM83" s="12"/>
    </row>
    <row r="84" ht="15.75" customHeight="1">
      <c r="A84" s="12" t="s">
        <v>504</v>
      </c>
      <c r="B84" s="12">
        <v>198.0</v>
      </c>
      <c r="C84" s="12">
        <v>6.0</v>
      </c>
      <c r="D84" s="12" t="s">
        <v>535</v>
      </c>
      <c r="E84" s="12" t="s">
        <v>506</v>
      </c>
      <c r="F84" s="12">
        <v>2015.0</v>
      </c>
      <c r="G84" s="12">
        <v>1.0</v>
      </c>
      <c r="H84" s="12" t="s">
        <v>123</v>
      </c>
      <c r="I84" s="12" t="s">
        <v>124</v>
      </c>
      <c r="J84" s="12" t="s">
        <v>125</v>
      </c>
      <c r="K84" s="12">
        <v>2.0</v>
      </c>
      <c r="L84" s="12" t="s">
        <v>138</v>
      </c>
      <c r="M84" s="12" t="s">
        <v>538</v>
      </c>
      <c r="N84" s="12">
        <v>10.0</v>
      </c>
      <c r="O84" s="12">
        <v>20.0</v>
      </c>
      <c r="P84" s="12">
        <v>15.0</v>
      </c>
      <c r="Q84" s="12">
        <v>-157.5495441755118</v>
      </c>
      <c r="R84" s="12">
        <v>0.86</v>
      </c>
      <c r="S84" s="12">
        <v>0.09</v>
      </c>
      <c r="T84" s="12">
        <v>0.10449999999999982</v>
      </c>
      <c r="U84" s="12">
        <v>0.05298113972824975</v>
      </c>
      <c r="V84" s="12">
        <v>105.96581058308055</v>
      </c>
      <c r="W84" s="12">
        <v>10.0</v>
      </c>
      <c r="X84" s="12">
        <v>114.009182796937</v>
      </c>
      <c r="Y84" s="12">
        <v>0.001</v>
      </c>
      <c r="Z84" s="12">
        <v>0.001</v>
      </c>
      <c r="AA84" s="12">
        <v>-14.0</v>
      </c>
      <c r="AB84" s="12">
        <v>10.0</v>
      </c>
      <c r="AC84" s="12">
        <v>20.0</v>
      </c>
      <c r="AD84" s="12">
        <v>86.0</v>
      </c>
      <c r="AE84" s="12">
        <v>20.0</v>
      </c>
      <c r="AF84" s="12">
        <v>0.929449786266931</v>
      </c>
      <c r="AG84" s="12">
        <v>7.993268161895606</v>
      </c>
      <c r="AH84" s="12" t="s">
        <v>420</v>
      </c>
      <c r="AI84" s="12" t="s">
        <v>128</v>
      </c>
      <c r="AJ84" s="12" t="s">
        <v>537</v>
      </c>
      <c r="AK84" s="12">
        <v>27.204758122247984</v>
      </c>
      <c r="AL84" s="12" t="s">
        <v>135</v>
      </c>
      <c r="AM84" s="12"/>
    </row>
    <row r="85" ht="15.75" customHeight="1">
      <c r="A85" s="12" t="s">
        <v>504</v>
      </c>
      <c r="B85" s="12">
        <v>199.0</v>
      </c>
      <c r="C85" s="12">
        <v>6.0</v>
      </c>
      <c r="D85" s="12" t="s">
        <v>535</v>
      </c>
      <c r="E85" s="12" t="s">
        <v>506</v>
      </c>
      <c r="F85" s="12">
        <v>2015.0</v>
      </c>
      <c r="G85" s="12">
        <v>1.0</v>
      </c>
      <c r="H85" s="12" t="s">
        <v>123</v>
      </c>
      <c r="I85" s="12" t="s">
        <v>124</v>
      </c>
      <c r="J85" s="12" t="s">
        <v>125</v>
      </c>
      <c r="K85" s="12">
        <v>3.0</v>
      </c>
      <c r="L85" s="12" t="s">
        <v>358</v>
      </c>
      <c r="M85" s="12" t="s">
        <v>539</v>
      </c>
      <c r="N85" s="12">
        <v>20.0</v>
      </c>
      <c r="O85" s="12">
        <v>50.0</v>
      </c>
      <c r="P85" s="12">
        <v>35.0</v>
      </c>
      <c r="Q85" s="12">
        <v>-170.2</v>
      </c>
      <c r="R85" s="12">
        <v>0.62</v>
      </c>
      <c r="S85" s="12">
        <v>0.07</v>
      </c>
      <c r="T85" s="12">
        <v>0.15720000000000045</v>
      </c>
      <c r="U85" s="12">
        <v>0.08400128246232792</v>
      </c>
      <c r="V85" s="12">
        <v>341.54018633540363</v>
      </c>
      <c r="W85" s="12">
        <v>30.0</v>
      </c>
      <c r="X85" s="12">
        <v>342.027548390811</v>
      </c>
      <c r="Y85" s="12">
        <v>0.0773</v>
      </c>
      <c r="Z85" s="12">
        <v>0.0773</v>
      </c>
      <c r="AA85" s="12">
        <v>-14.0</v>
      </c>
      <c r="AB85" s="12">
        <v>20.0</v>
      </c>
      <c r="AC85" s="12">
        <v>50.0</v>
      </c>
      <c r="AD85" s="12">
        <v>86.0</v>
      </c>
      <c r="AE85" s="12">
        <v>50.0</v>
      </c>
      <c r="AF85" s="12">
        <v>0.9985750795288265</v>
      </c>
      <c r="AG85" s="12">
        <v>18.573496479236173</v>
      </c>
      <c r="AH85" s="12" t="s">
        <v>420</v>
      </c>
      <c r="AI85" s="12" t="s">
        <v>128</v>
      </c>
      <c r="AJ85" s="12" t="s">
        <v>537</v>
      </c>
      <c r="AK85" s="12">
        <v>45.77825460148416</v>
      </c>
      <c r="AL85" s="12" t="s">
        <v>135</v>
      </c>
      <c r="AM85" s="12"/>
    </row>
    <row r="86" ht="15.75" customHeight="1">
      <c r="A86" s="12" t="s">
        <v>504</v>
      </c>
      <c r="B86" s="12">
        <v>200.0</v>
      </c>
      <c r="C86" s="12">
        <v>6.0</v>
      </c>
      <c r="D86" s="12" t="s">
        <v>535</v>
      </c>
      <c r="E86" s="12" t="s">
        <v>506</v>
      </c>
      <c r="F86" s="12">
        <v>2015.0</v>
      </c>
      <c r="G86" s="12">
        <v>1.0</v>
      </c>
      <c r="H86" s="12" t="s">
        <v>123</v>
      </c>
      <c r="I86" s="12" t="s">
        <v>124</v>
      </c>
      <c r="J86" s="12" t="s">
        <v>125</v>
      </c>
      <c r="K86" s="12">
        <v>4.0</v>
      </c>
      <c r="L86" s="12" t="s">
        <v>368</v>
      </c>
      <c r="M86" s="12" t="s">
        <v>540</v>
      </c>
      <c r="N86" s="12">
        <v>50.0</v>
      </c>
      <c r="O86" s="12">
        <v>75.0</v>
      </c>
      <c r="P86" s="12">
        <v>62.5</v>
      </c>
      <c r="Q86" s="12">
        <v>-279.9</v>
      </c>
      <c r="R86" s="12">
        <v>0.54</v>
      </c>
      <c r="S86" s="12">
        <v>0.06</v>
      </c>
      <c r="T86" s="12">
        <v>0.2889000000000004</v>
      </c>
      <c r="U86" s="12">
        <v>0.12281596735110335</v>
      </c>
      <c r="V86" s="12">
        <v>264.85195138573374</v>
      </c>
      <c r="W86" s="12">
        <v>25.0</v>
      </c>
      <c r="X86" s="12">
        <v>285.0229569923425</v>
      </c>
      <c r="Y86" s="12">
        <v>0.0</v>
      </c>
      <c r="Z86" s="12">
        <v>0.0</v>
      </c>
      <c r="AA86" s="12">
        <v>-14.0</v>
      </c>
      <c r="AB86" s="12">
        <v>50.0</v>
      </c>
      <c r="AC86" s="12">
        <v>75.0</v>
      </c>
      <c r="AD86" s="12">
        <v>86.0</v>
      </c>
      <c r="AE86" s="12">
        <v>75.0</v>
      </c>
      <c r="AF86" s="12">
        <v>0.9292302422953578</v>
      </c>
      <c r="AG86" s="12">
        <v>12.54460827098733</v>
      </c>
      <c r="AH86" s="12" t="s">
        <v>420</v>
      </c>
      <c r="AI86" s="12" t="s">
        <v>128</v>
      </c>
      <c r="AJ86" s="12" t="s">
        <v>537</v>
      </c>
      <c r="AK86" s="12">
        <v>58.32286287247149</v>
      </c>
      <c r="AL86" s="12" t="s">
        <v>135</v>
      </c>
      <c r="AM86" s="12"/>
    </row>
    <row r="87" ht="15.75" customHeight="1">
      <c r="A87" s="12" t="s">
        <v>504</v>
      </c>
      <c r="B87" s="12">
        <v>201.0</v>
      </c>
      <c r="C87" s="12">
        <v>6.0</v>
      </c>
      <c r="D87" s="12" t="s">
        <v>535</v>
      </c>
      <c r="E87" s="12" t="s">
        <v>506</v>
      </c>
      <c r="F87" s="12">
        <v>2015.0</v>
      </c>
      <c r="G87" s="12">
        <v>1.0</v>
      </c>
      <c r="H87" s="12" t="s">
        <v>123</v>
      </c>
      <c r="I87" s="12" t="s">
        <v>124</v>
      </c>
      <c r="J87" s="12" t="s">
        <v>125</v>
      </c>
      <c r="K87" s="12">
        <v>5.0</v>
      </c>
      <c r="L87" s="12" t="s">
        <v>431</v>
      </c>
      <c r="M87" s="12" t="s">
        <v>541</v>
      </c>
      <c r="N87" s="12">
        <v>75.0</v>
      </c>
      <c r="O87" s="12">
        <v>100.0</v>
      </c>
      <c r="P87" s="12">
        <v>87.5</v>
      </c>
      <c r="Q87" s="12">
        <v>-330.9</v>
      </c>
      <c r="R87" s="12">
        <v>0.45</v>
      </c>
      <c r="S87" s="12">
        <v>0.06</v>
      </c>
      <c r="T87" s="12">
        <v>0.2171000000000003</v>
      </c>
      <c r="U87" s="12">
        <v>0.11235315427211111</v>
      </c>
      <c r="V87" s="12">
        <v>161.14486600911883</v>
      </c>
      <c r="W87" s="12">
        <v>11.0</v>
      </c>
      <c r="X87" s="12">
        <v>125.41010107663068</v>
      </c>
      <c r="Y87" s="12">
        <v>0.0</v>
      </c>
      <c r="Z87" s="12">
        <v>0.0</v>
      </c>
      <c r="AA87" s="12">
        <v>-14.0</v>
      </c>
      <c r="AB87" s="12">
        <v>75.0</v>
      </c>
      <c r="AC87" s="12">
        <v>100.0</v>
      </c>
      <c r="AD87" s="12">
        <v>86.0</v>
      </c>
      <c r="AE87" s="12">
        <v>86.0</v>
      </c>
      <c r="AF87" s="12">
        <v>1.284943275108699</v>
      </c>
      <c r="AG87" s="12">
        <v>6.360469211788061</v>
      </c>
      <c r="AH87" s="12" t="s">
        <v>420</v>
      </c>
      <c r="AI87" s="12" t="s">
        <v>128</v>
      </c>
      <c r="AJ87" s="12" t="s">
        <v>537</v>
      </c>
      <c r="AK87" s="12">
        <v>64.68333208425955</v>
      </c>
      <c r="AL87" s="12" t="inlineStr">
        <is>
          <t>no</t>
        </is>
      </c>
      <c r="AM87" s="12" t="inlineStr">
        <is>
          <t>Hedgerow 75-100 cm excluded from 0-75 cm models.</t>
        </is>
      </c>
    </row>
    <row r="88" ht="15.75" customHeight="1">
      <c r="A88" s="12" t="s">
        <v>504</v>
      </c>
      <c r="B88" s="12">
        <v>202.0</v>
      </c>
      <c r="C88" s="12">
        <v>6.0</v>
      </c>
      <c r="D88" s="12" t="s">
        <v>535</v>
      </c>
      <c r="E88" s="12" t="s">
        <v>506</v>
      </c>
      <c r="F88" s="12">
        <v>2015.0</v>
      </c>
      <c r="G88" s="12">
        <v>2.0</v>
      </c>
      <c r="H88" s="12" t="s">
        <v>184</v>
      </c>
      <c r="I88" s="12" t="s">
        <v>124</v>
      </c>
      <c r="J88" s="12" t="s">
        <v>125</v>
      </c>
      <c r="K88" s="12">
        <v>1.0</v>
      </c>
      <c r="L88" s="12" t="s">
        <v>67</v>
      </c>
      <c r="M88" s="12" t="s">
        <v>542</v>
      </c>
      <c r="N88" s="12">
        <v>0.0</v>
      </c>
      <c r="O88" s="12">
        <v>10.0</v>
      </c>
      <c r="P88" s="12">
        <v>5.0</v>
      </c>
      <c r="Q88" s="12">
        <v>-16.2</v>
      </c>
      <c r="R88" s="12">
        <v>2.06</v>
      </c>
      <c r="S88" s="12">
        <v>0.15</v>
      </c>
      <c r="T88" s="12">
        <v>0.03550000000000031</v>
      </c>
      <c r="U88" s="12">
        <v>0.014534288638689994</v>
      </c>
      <c r="V88" s="12">
        <v>92.00280468119452</v>
      </c>
      <c r="W88" s="12">
        <v>10.0</v>
      </c>
      <c r="X88" s="12">
        <v>114.009182796937</v>
      </c>
      <c r="Y88" s="12">
        <v>0.0093</v>
      </c>
      <c r="Z88" s="12">
        <v>0.0093</v>
      </c>
      <c r="AA88" s="12">
        <v>-12.0</v>
      </c>
      <c r="AB88" s="12">
        <v>0.0</v>
      </c>
      <c r="AC88" s="12">
        <v>10.0</v>
      </c>
      <c r="AD88" s="12">
        <v>88.0</v>
      </c>
      <c r="AE88" s="12">
        <v>10.0</v>
      </c>
      <c r="AF88" s="12">
        <v>0.8069771436311558</v>
      </c>
      <c r="AG88" s="12">
        <v>16.623729158801808</v>
      </c>
      <c r="AH88" s="12" t="s">
        <v>420</v>
      </c>
      <c r="AI88" s="12" t="s">
        <v>128</v>
      </c>
      <c r="AJ88" s="12" t="s">
        <v>543</v>
      </c>
      <c r="AK88" s="12">
        <v>16.623729158801808</v>
      </c>
      <c r="AL88" s="12" t="s">
        <v>135</v>
      </c>
      <c r="AM88" s="12"/>
    </row>
    <row r="89" ht="15.75" customHeight="1">
      <c r="A89" s="12" t="s">
        <v>504</v>
      </c>
      <c r="B89" s="12">
        <v>203.0</v>
      </c>
      <c r="C89" s="12">
        <v>6.0</v>
      </c>
      <c r="D89" s="12" t="s">
        <v>535</v>
      </c>
      <c r="E89" s="12" t="s">
        <v>506</v>
      </c>
      <c r="F89" s="12">
        <v>2015.0</v>
      </c>
      <c r="G89" s="12">
        <v>2.0</v>
      </c>
      <c r="H89" s="12" t="s">
        <v>184</v>
      </c>
      <c r="I89" s="12" t="s">
        <v>124</v>
      </c>
      <c r="J89" s="12" t="s">
        <v>125</v>
      </c>
      <c r="K89" s="12">
        <v>2.0</v>
      </c>
      <c r="L89" s="12" t="s">
        <v>138</v>
      </c>
      <c r="M89" s="12" t="s">
        <v>544</v>
      </c>
      <c r="N89" s="12">
        <v>10.0</v>
      </c>
      <c r="O89" s="12">
        <v>20.0</v>
      </c>
      <c r="P89" s="12">
        <v>15.0</v>
      </c>
      <c r="Q89" s="12">
        <v>-34.9</v>
      </c>
      <c r="R89" s="12">
        <v>1.11</v>
      </c>
      <c r="S89" s="12">
        <v>0.1</v>
      </c>
      <c r="T89" s="12">
        <v>0.07620000000000005</v>
      </c>
      <c r="U89" s="12">
        <v>0.03874313605857232</v>
      </c>
      <c r="V89" s="12">
        <v>99.55300440528633</v>
      </c>
      <c r="W89" s="12">
        <v>10.0</v>
      </c>
      <c r="X89" s="12">
        <v>114.009182796937</v>
      </c>
      <c r="Y89" s="12">
        <v>0.0031</v>
      </c>
      <c r="Z89" s="12">
        <v>0.0031</v>
      </c>
      <c r="AA89" s="12">
        <v>-12.0</v>
      </c>
      <c r="AB89" s="12">
        <v>10.0</v>
      </c>
      <c r="AC89" s="12">
        <v>20.0</v>
      </c>
      <c r="AD89" s="12">
        <v>88.0</v>
      </c>
      <c r="AE89" s="12">
        <v>20.0</v>
      </c>
      <c r="AF89" s="12">
        <v>0.8732016313335152</v>
      </c>
      <c r="AG89" s="12">
        <v>9.69253810780202</v>
      </c>
      <c r="AH89" s="12" t="s">
        <v>420</v>
      </c>
      <c r="AI89" s="12" t="s">
        <v>128</v>
      </c>
      <c r="AJ89" s="12" t="s">
        <v>543</v>
      </c>
      <c r="AK89" s="12">
        <v>26.31626726660383</v>
      </c>
      <c r="AL89" s="12" t="s">
        <v>135</v>
      </c>
      <c r="AM89" s="12"/>
    </row>
    <row r="90" ht="15.75" customHeight="1">
      <c r="A90" s="12" t="s">
        <v>504</v>
      </c>
      <c r="B90" s="12">
        <v>204.0</v>
      </c>
      <c r="C90" s="12">
        <v>6.0</v>
      </c>
      <c r="D90" s="12" t="s">
        <v>535</v>
      </c>
      <c r="E90" s="12" t="s">
        <v>506</v>
      </c>
      <c r="F90" s="12">
        <v>2015.0</v>
      </c>
      <c r="G90" s="12">
        <v>2.0</v>
      </c>
      <c r="H90" s="12" t="s">
        <v>184</v>
      </c>
      <c r="I90" s="12" t="s">
        <v>124</v>
      </c>
      <c r="J90" s="12" t="s">
        <v>125</v>
      </c>
      <c r="K90" s="12">
        <v>3.0</v>
      </c>
      <c r="L90" s="12" t="s">
        <v>358</v>
      </c>
      <c r="M90" s="12" t="s">
        <v>545</v>
      </c>
      <c r="N90" s="12">
        <v>20.0</v>
      </c>
      <c r="O90" s="12">
        <v>50.0</v>
      </c>
      <c r="P90" s="12">
        <v>35.0</v>
      </c>
      <c r="Q90" s="12">
        <v>-149.7</v>
      </c>
      <c r="R90" s="12">
        <v>0.68</v>
      </c>
      <c r="S90" s="12">
        <v>0.07</v>
      </c>
      <c r="T90" s="12">
        <v>0.1772999999999998</v>
      </c>
      <c r="U90" s="12">
        <v>0.08019358632231208</v>
      </c>
      <c r="V90" s="12">
        <v>345.9842797923123</v>
      </c>
      <c r="W90" s="12">
        <v>30.0</v>
      </c>
      <c r="X90" s="12">
        <v>342.027548390811</v>
      </c>
      <c r="Y90" s="12">
        <v>0.0356</v>
      </c>
      <c r="Z90" s="12">
        <v>0.0356</v>
      </c>
      <c r="AA90" s="12">
        <v>-12.0</v>
      </c>
      <c r="AB90" s="12">
        <v>20.0</v>
      </c>
      <c r="AC90" s="12">
        <v>50.0</v>
      </c>
      <c r="AD90" s="12">
        <v>88.0</v>
      </c>
      <c r="AE90" s="12">
        <v>50.0</v>
      </c>
      <c r="AF90" s="12">
        <v>1.0115684582137232</v>
      </c>
      <c r="AG90" s="12">
        <v>20.635996547559955</v>
      </c>
      <c r="AH90" s="12" t="s">
        <v>420</v>
      </c>
      <c r="AI90" s="12" t="s">
        <v>128</v>
      </c>
      <c r="AJ90" s="12" t="s">
        <v>543</v>
      </c>
      <c r="AK90" s="12">
        <v>46.952263814163786</v>
      </c>
      <c r="AL90" s="12" t="s">
        <v>135</v>
      </c>
      <c r="AM90" s="12"/>
    </row>
    <row r="91" ht="15.75" customHeight="1">
      <c r="A91" s="12" t="s">
        <v>504</v>
      </c>
      <c r="B91" s="12">
        <v>205.0</v>
      </c>
      <c r="C91" s="12">
        <v>6.0</v>
      </c>
      <c r="D91" s="12" t="s">
        <v>535</v>
      </c>
      <c r="E91" s="12" t="s">
        <v>506</v>
      </c>
      <c r="F91" s="12">
        <v>2015.0</v>
      </c>
      <c r="G91" s="12">
        <v>2.0</v>
      </c>
      <c r="H91" s="12" t="s">
        <v>184</v>
      </c>
      <c r="I91" s="12" t="s">
        <v>124</v>
      </c>
      <c r="J91" s="12" t="s">
        <v>125</v>
      </c>
      <c r="K91" s="12">
        <v>4.0</v>
      </c>
      <c r="L91" s="12" t="s">
        <v>368</v>
      </c>
      <c r="M91" s="12" t="s">
        <v>546</v>
      </c>
      <c r="N91" s="12">
        <v>50.0</v>
      </c>
      <c r="O91" s="12">
        <v>75.0</v>
      </c>
      <c r="P91" s="12">
        <v>62.5</v>
      </c>
      <c r="Q91" s="12">
        <v>-140.5</v>
      </c>
      <c r="R91" s="12">
        <v>0.63</v>
      </c>
      <c r="S91" s="12">
        <v>0.07</v>
      </c>
      <c r="T91" s="12">
        <v>0.1626000000000003</v>
      </c>
      <c r="U91" s="12">
        <v>0.08475371383893683</v>
      </c>
      <c r="V91" s="12">
        <v>273.88705492287727</v>
      </c>
      <c r="W91" s="12">
        <v>25.0</v>
      </c>
      <c r="X91" s="12">
        <v>285.0229569923425</v>
      </c>
      <c r="Y91" s="12">
        <v>0.0625</v>
      </c>
      <c r="Z91" s="12">
        <v>0.0625</v>
      </c>
      <c r="AA91" s="12">
        <v>-12.0</v>
      </c>
      <c r="AB91" s="12">
        <v>50.0</v>
      </c>
      <c r="AC91" s="12">
        <v>75.0</v>
      </c>
      <c r="AD91" s="12">
        <v>88.0</v>
      </c>
      <c r="AE91" s="12">
        <v>75.0</v>
      </c>
      <c r="AF91" s="12">
        <v>0.9609298065426906</v>
      </c>
      <c r="AG91" s="12">
        <v>15.134644453047377</v>
      </c>
      <c r="AH91" s="12" t="s">
        <v>420</v>
      </c>
      <c r="AI91" s="12" t="s">
        <v>128</v>
      </c>
      <c r="AJ91" s="12" t="s">
        <v>543</v>
      </c>
      <c r="AK91" s="12">
        <v>62.086908267211165</v>
      </c>
      <c r="AL91" s="12" t="s">
        <v>135</v>
      </c>
      <c r="AM91" s="12"/>
    </row>
    <row r="92" ht="15.75" customHeight="1">
      <c r="A92" s="12" t="s">
        <v>504</v>
      </c>
      <c r="B92" s="12">
        <v>206.0</v>
      </c>
      <c r="C92" s="12">
        <v>6.0</v>
      </c>
      <c r="D92" s="12" t="s">
        <v>535</v>
      </c>
      <c r="E92" s="12" t="s">
        <v>506</v>
      </c>
      <c r="F92" s="12">
        <v>2015.0</v>
      </c>
      <c r="G92" s="12">
        <v>2.0</v>
      </c>
      <c r="H92" s="12" t="s">
        <v>184</v>
      </c>
      <c r="I92" s="12" t="s">
        <v>124</v>
      </c>
      <c r="J92" s="12" t="s">
        <v>125</v>
      </c>
      <c r="K92" s="12">
        <v>5.0</v>
      </c>
      <c r="L92" s="12" t="s">
        <v>431</v>
      </c>
      <c r="M92" s="12" t="s">
        <v>547</v>
      </c>
      <c r="N92" s="12">
        <v>75.0</v>
      </c>
      <c r="O92" s="12">
        <v>100.0</v>
      </c>
      <c r="P92" s="12">
        <v>87.5</v>
      </c>
      <c r="Q92" s="12">
        <v>-167.0</v>
      </c>
      <c r="R92" s="12">
        <v>0.66</v>
      </c>
      <c r="S92" s="12">
        <v>0.07</v>
      </c>
      <c r="T92" s="12">
        <v>0.2032999999999996</v>
      </c>
      <c r="U92" s="12">
        <v>0.08054036922589318</v>
      </c>
      <c r="V92" s="12">
        <v>124.88196076993584</v>
      </c>
      <c r="W92" s="12">
        <v>13.0</v>
      </c>
      <c r="X92" s="12">
        <v>148.21193763601806</v>
      </c>
      <c r="Y92" s="12">
        <v>4.0E-4</v>
      </c>
      <c r="Z92" s="12">
        <v>4.0E-4</v>
      </c>
      <c r="AA92" s="12">
        <v>-12.0</v>
      </c>
      <c r="AB92" s="12">
        <v>75.0</v>
      </c>
      <c r="AC92" s="12">
        <v>100.0</v>
      </c>
      <c r="AD92" s="12">
        <v>88.0</v>
      </c>
      <c r="AE92" s="12">
        <v>88.0</v>
      </c>
      <c r="AF92" s="12">
        <v>0.8425904334145037</v>
      </c>
      <c r="AG92" s="12">
        <v>7.2294259186964425</v>
      </c>
      <c r="AH92" s="12" t="s">
        <v>420</v>
      </c>
      <c r="AI92" s="12" t="s">
        <v>128</v>
      </c>
      <c r="AJ92" s="12" t="s">
        <v>543</v>
      </c>
      <c r="AK92" s="12">
        <v>69.3163341859076</v>
      </c>
      <c r="AL92" s="12" t="inlineStr">
        <is>
          <t>no</t>
        </is>
      </c>
      <c r="AM92" s="12" t="inlineStr">
        <is>
          <t>Hedgerow 75-100 cm excluded from 0-75 cm models.</t>
        </is>
      </c>
    </row>
    <row r="93" ht="15.75" customHeight="1">
      <c r="A93" s="12" t="s">
        <v>504</v>
      </c>
      <c r="B93" s="12">
        <v>207.0</v>
      </c>
      <c r="C93" s="12">
        <v>6.0</v>
      </c>
      <c r="D93" s="12" t="s">
        <v>535</v>
      </c>
      <c r="E93" s="12" t="s">
        <v>506</v>
      </c>
      <c r="F93" s="12">
        <v>2015.0</v>
      </c>
      <c r="G93" s="12">
        <v>3.0</v>
      </c>
      <c r="H93" s="12" t="s">
        <v>259</v>
      </c>
      <c r="I93" s="12" t="s">
        <v>124</v>
      </c>
      <c r="J93" s="12" t="s">
        <v>125</v>
      </c>
      <c r="K93" s="12">
        <v>1.0</v>
      </c>
      <c r="L93" s="12" t="s">
        <v>67</v>
      </c>
      <c r="M93" s="12" t="s">
        <v>548</v>
      </c>
      <c r="N93" s="12">
        <v>0.0</v>
      </c>
      <c r="O93" s="12">
        <v>10.0</v>
      </c>
      <c r="P93" s="12">
        <v>5.0</v>
      </c>
      <c r="Q93" s="12">
        <v>-57.39181725885967</v>
      </c>
      <c r="R93" s="12">
        <v>1.45</v>
      </c>
      <c r="S93" s="12">
        <v>0.12</v>
      </c>
      <c r="T93" s="12">
        <v>0.05630000000000024</v>
      </c>
      <c r="U93" s="12">
        <v>0.025679620507206825</v>
      </c>
      <c r="V93" s="12">
        <v>120.82720327300218</v>
      </c>
      <c r="W93" s="12">
        <v>10.0</v>
      </c>
      <c r="X93" s="12">
        <v>114.009182796937</v>
      </c>
      <c r="Y93" s="12">
        <v>0.0024</v>
      </c>
      <c r="Z93" s="12">
        <v>0.0024</v>
      </c>
      <c r="AA93" s="12">
        <v>0.0</v>
      </c>
      <c r="AB93" s="12">
        <v>0.0</v>
      </c>
      <c r="AC93" s="12">
        <v>10.0</v>
      </c>
      <c r="AD93" s="12">
        <v>100.0</v>
      </c>
      <c r="AE93" s="12">
        <v>10.0</v>
      </c>
      <c r="AF93" s="12">
        <v>1.059802380025904</v>
      </c>
      <c r="AG93" s="12">
        <v>15.367134510375607</v>
      </c>
      <c r="AH93" s="12" t="s">
        <v>420</v>
      </c>
      <c r="AI93" s="12" t="s">
        <v>128</v>
      </c>
      <c r="AJ93" s="12" t="s">
        <v>549</v>
      </c>
      <c r="AK93" s="12">
        <v>15.367134510375607</v>
      </c>
      <c r="AL93" s="12" t="s">
        <v>135</v>
      </c>
      <c r="AM93" s="12"/>
    </row>
    <row r="94" ht="15.75" customHeight="1">
      <c r="A94" s="12" t="s">
        <v>504</v>
      </c>
      <c r="B94" s="12">
        <v>208.0</v>
      </c>
      <c r="C94" s="12">
        <v>6.0</v>
      </c>
      <c r="D94" s="12" t="s">
        <v>535</v>
      </c>
      <c r="E94" s="12" t="s">
        <v>506</v>
      </c>
      <c r="F94" s="12">
        <v>2015.0</v>
      </c>
      <c r="G94" s="12">
        <v>3.0</v>
      </c>
      <c r="H94" s="12" t="s">
        <v>259</v>
      </c>
      <c r="I94" s="12" t="s">
        <v>124</v>
      </c>
      <c r="J94" s="12" t="s">
        <v>125</v>
      </c>
      <c r="K94" s="12">
        <v>2.0</v>
      </c>
      <c r="L94" s="12" t="s">
        <v>138</v>
      </c>
      <c r="M94" s="12" t="s">
        <v>550</v>
      </c>
      <c r="N94" s="12">
        <v>10.0</v>
      </c>
      <c r="O94" s="12">
        <v>20.0</v>
      </c>
      <c r="P94" s="12">
        <v>15.0</v>
      </c>
      <c r="Q94" s="12">
        <v>-96.0</v>
      </c>
      <c r="R94" s="12">
        <v>0.7</v>
      </c>
      <c r="S94" s="12">
        <v>0.08</v>
      </c>
      <c r="T94" s="12">
        <v>0.13039999999999985</v>
      </c>
      <c r="U94" s="12">
        <v>0.059240414319462045</v>
      </c>
      <c r="V94" s="12">
        <v>93.41599759821582</v>
      </c>
      <c r="W94" s="12">
        <v>10.0</v>
      </c>
      <c r="X94" s="12">
        <v>114.009182796937</v>
      </c>
      <c r="Y94" s="12">
        <v>0.9132</v>
      </c>
      <c r="Z94" s="12">
        <v>0.9132</v>
      </c>
      <c r="AA94" s="12">
        <v>0.0</v>
      </c>
      <c r="AB94" s="12">
        <v>10.0</v>
      </c>
      <c r="AC94" s="12">
        <v>20.0</v>
      </c>
      <c r="AD94" s="12">
        <v>100.0</v>
      </c>
      <c r="AE94" s="12">
        <v>20.0</v>
      </c>
      <c r="AF94" s="12">
        <v>0.8193725742653561</v>
      </c>
      <c r="AG94" s="12">
        <v>5.735608019857493</v>
      </c>
      <c r="AH94" s="12" t="s">
        <v>420</v>
      </c>
      <c r="AI94" s="12" t="s">
        <v>128</v>
      </c>
      <c r="AJ94" s="12" t="s">
        <v>549</v>
      </c>
      <c r="AK94" s="12">
        <v>21.1027425302331</v>
      </c>
      <c r="AL94" s="12" t="s">
        <v>135</v>
      </c>
      <c r="AM94" s="12"/>
    </row>
    <row r="95" ht="15.75" customHeight="1">
      <c r="A95" s="12" t="s">
        <v>504</v>
      </c>
      <c r="B95" s="12">
        <v>209.0</v>
      </c>
      <c r="C95" s="12">
        <v>6.0</v>
      </c>
      <c r="D95" s="12" t="s">
        <v>535</v>
      </c>
      <c r="E95" s="12" t="s">
        <v>506</v>
      </c>
      <c r="F95" s="12">
        <v>2015.0</v>
      </c>
      <c r="G95" s="12">
        <v>3.0</v>
      </c>
      <c r="H95" s="12" t="s">
        <v>259</v>
      </c>
      <c r="I95" s="12" t="s">
        <v>124</v>
      </c>
      <c r="J95" s="12" t="s">
        <v>125</v>
      </c>
      <c r="K95" s="12">
        <v>3.0</v>
      </c>
      <c r="L95" s="12" t="s">
        <v>358</v>
      </c>
      <c r="M95" s="12" t="s">
        <v>551</v>
      </c>
      <c r="N95" s="12">
        <v>20.0</v>
      </c>
      <c r="O95" s="12">
        <v>50.0</v>
      </c>
      <c r="P95" s="12">
        <v>35.0</v>
      </c>
      <c r="Q95" s="12">
        <v>-182.8</v>
      </c>
      <c r="R95" s="12">
        <v>0.55</v>
      </c>
      <c r="S95" s="12">
        <v>0.06</v>
      </c>
      <c r="T95" s="12">
        <v>0.1513</v>
      </c>
      <c r="U95" s="12">
        <v>0.07869551648808903</v>
      </c>
      <c r="V95" s="12">
        <v>314.73200250735334</v>
      </c>
      <c r="W95" s="12">
        <v>30.0</v>
      </c>
      <c r="X95" s="12">
        <v>342.027548390811</v>
      </c>
      <c r="Y95" s="12">
        <v>0.0237</v>
      </c>
      <c r="Z95" s="12">
        <v>0.0237</v>
      </c>
      <c r="AA95" s="12">
        <v>0.0</v>
      </c>
      <c r="AB95" s="12">
        <v>20.0</v>
      </c>
      <c r="AC95" s="12">
        <v>50.0</v>
      </c>
      <c r="AD95" s="12">
        <v>100.0</v>
      </c>
      <c r="AE95" s="12">
        <v>50.0</v>
      </c>
      <c r="AF95" s="12">
        <v>0.9201948906984857</v>
      </c>
      <c r="AG95" s="12">
        <v>15.183215696525014</v>
      </c>
      <c r="AH95" s="12" t="s">
        <v>420</v>
      </c>
      <c r="AI95" s="12" t="s">
        <v>128</v>
      </c>
      <c r="AJ95" s="12" t="s">
        <v>549</v>
      </c>
      <c r="AK95" s="12">
        <v>36.28595822675811</v>
      </c>
      <c r="AL95" s="12" t="s">
        <v>135</v>
      </c>
      <c r="AM95" s="12"/>
    </row>
    <row r="96" ht="15.75" customHeight="1">
      <c r="A96" s="12" t="s">
        <v>504</v>
      </c>
      <c r="B96" s="12">
        <v>210.0</v>
      </c>
      <c r="C96" s="12">
        <v>6.0</v>
      </c>
      <c r="D96" s="12" t="s">
        <v>535</v>
      </c>
      <c r="E96" s="12" t="s">
        <v>506</v>
      </c>
      <c r="F96" s="12">
        <v>2015.0</v>
      </c>
      <c r="G96" s="12">
        <v>3.0</v>
      </c>
      <c r="H96" s="12" t="s">
        <v>259</v>
      </c>
      <c r="I96" s="12" t="s">
        <v>124</v>
      </c>
      <c r="J96" s="12" t="s">
        <v>125</v>
      </c>
      <c r="K96" s="12">
        <v>4.0</v>
      </c>
      <c r="L96" s="12" t="s">
        <v>368</v>
      </c>
      <c r="M96" s="12" t="s">
        <v>552</v>
      </c>
      <c r="N96" s="12">
        <v>50.0</v>
      </c>
      <c r="O96" s="12">
        <v>75.0</v>
      </c>
      <c r="P96" s="12">
        <v>62.5</v>
      </c>
      <c r="Q96" s="12">
        <v>-282.6</v>
      </c>
      <c r="R96" s="12">
        <v>0.54</v>
      </c>
      <c r="S96" s="12">
        <v>0.07</v>
      </c>
      <c r="T96" s="12">
        <v>0.1943999999999999</v>
      </c>
      <c r="U96" s="12">
        <v>0.09471837848372634</v>
      </c>
      <c r="V96" s="12">
        <v>269.5487769271853</v>
      </c>
      <c r="W96" s="12">
        <v>25.0</v>
      </c>
      <c r="X96" s="12">
        <v>285.0229569923425</v>
      </c>
      <c r="Y96" s="12">
        <v>0.0013</v>
      </c>
      <c r="Z96" s="12">
        <v>0.0013</v>
      </c>
      <c r="AA96" s="12">
        <v>0.0</v>
      </c>
      <c r="AB96" s="12">
        <v>50.0</v>
      </c>
      <c r="AC96" s="12">
        <v>75.0</v>
      </c>
      <c r="AD96" s="12">
        <v>100.0</v>
      </c>
      <c r="AE96" s="12">
        <v>75.0</v>
      </c>
      <c r="AF96" s="12">
        <v>0.9457090045361753</v>
      </c>
      <c r="AG96" s="12">
        <v>12.76707156123837</v>
      </c>
      <c r="AH96" s="12" t="s">
        <v>420</v>
      </c>
      <c r="AI96" s="12" t="s">
        <v>128</v>
      </c>
      <c r="AJ96" s="12" t="s">
        <v>549</v>
      </c>
      <c r="AK96" s="12">
        <v>49.05302978799648</v>
      </c>
      <c r="AL96" s="12" t="s">
        <v>135</v>
      </c>
      <c r="AM96" s="12"/>
    </row>
    <row r="97" ht="15.75" customHeight="1">
      <c r="A97" s="12" t="s">
        <v>504</v>
      </c>
      <c r="B97" s="12">
        <v>211.0</v>
      </c>
      <c r="C97" s="12">
        <v>6.0</v>
      </c>
      <c r="D97" s="12" t="s">
        <v>535</v>
      </c>
      <c r="E97" s="12" t="s">
        <v>506</v>
      </c>
      <c r="F97" s="12">
        <v>2015.0</v>
      </c>
      <c r="G97" s="12">
        <v>3.0</v>
      </c>
      <c r="H97" s="12" t="s">
        <v>259</v>
      </c>
      <c r="I97" s="12" t="s">
        <v>124</v>
      </c>
      <c r="J97" s="12" t="s">
        <v>125</v>
      </c>
      <c r="K97" s="12">
        <v>5.0</v>
      </c>
      <c r="L97" s="12" t="s">
        <v>431</v>
      </c>
      <c r="M97" s="12" t="s">
        <v>553</v>
      </c>
      <c r="N97" s="12">
        <v>75.0</v>
      </c>
      <c r="O97" s="12">
        <v>100.0</v>
      </c>
      <c r="P97" s="12">
        <v>87.5</v>
      </c>
      <c r="Q97" s="12">
        <v>-142.91641412127277</v>
      </c>
      <c r="R97" s="12">
        <v>0.65</v>
      </c>
      <c r="S97" s="12">
        <v>0.07</v>
      </c>
      <c r="T97" s="12">
        <v>0.14869999999999983</v>
      </c>
      <c r="U97" s="12">
        <v>0.0748063185431129</v>
      </c>
      <c r="V97" s="12">
        <v>264.5872052422186</v>
      </c>
      <c r="W97" s="12">
        <v>25.0</v>
      </c>
      <c r="X97" s="12">
        <v>285.0229569923425</v>
      </c>
      <c r="Y97" s="12">
        <v>0.0047</v>
      </c>
      <c r="Z97" s="12">
        <v>0.0047</v>
      </c>
      <c r="AA97" s="12">
        <v>0.0</v>
      </c>
      <c r="AB97" s="12">
        <v>75.0</v>
      </c>
      <c r="AC97" s="12">
        <v>100.0</v>
      </c>
      <c r="AD97" s="12">
        <v>100.0</v>
      </c>
      <c r="AE97" s="12">
        <v>100.0</v>
      </c>
      <c r="AF97" s="12">
        <v>0.9283013832788461</v>
      </c>
      <c r="AG97" s="12">
        <v>15.08489747828125</v>
      </c>
      <c r="AH97" s="12" t="s">
        <v>420</v>
      </c>
      <c r="AI97" s="12" t="s">
        <v>128</v>
      </c>
      <c r="AJ97" s="12" t="s">
        <v>549</v>
      </c>
      <c r="AK97" s="12">
        <v>64.13792726627773</v>
      </c>
      <c r="AL97" s="12" t="inlineStr">
        <is>
          <t>no</t>
        </is>
      </c>
      <c r="AM97" s="12" t="inlineStr">
        <is>
          <t>Hedgerow 75-100 cm excluded from 0-75 cm models.</t>
        </is>
      </c>
    </row>
    <row r="98" ht="15.75" customHeight="1">
      <c r="A98" s="12" t="s">
        <v>504</v>
      </c>
      <c r="B98" s="12">
        <v>212.0</v>
      </c>
      <c r="C98" s="12">
        <v>7.0</v>
      </c>
      <c r="D98" s="12" t="s">
        <v>554</v>
      </c>
      <c r="E98" s="12" t="s">
        <v>506</v>
      </c>
      <c r="F98" s="12" t="s">
        <v>555</v>
      </c>
      <c r="G98" s="12">
        <v>1.0</v>
      </c>
      <c r="H98" s="12" t="s">
        <v>123</v>
      </c>
      <c r="I98" s="12" t="s">
        <v>124</v>
      </c>
      <c r="J98" s="12" t="s">
        <v>125</v>
      </c>
      <c r="K98" s="12">
        <v>1.0</v>
      </c>
      <c r="L98" s="12" t="s">
        <v>67</v>
      </c>
      <c r="M98" s="12" t="s">
        <v>556</v>
      </c>
      <c r="N98" s="12">
        <v>0.0</v>
      </c>
      <c r="O98" s="12">
        <v>10.0</v>
      </c>
      <c r="P98" s="12">
        <v>5.0</v>
      </c>
      <c r="Q98" s="12">
        <v>-95.1</v>
      </c>
      <c r="R98" s="12">
        <v>0.94</v>
      </c>
      <c r="S98" s="12">
        <v>0.11</v>
      </c>
      <c r="T98" s="12">
        <v>0.43710000000000004</v>
      </c>
      <c r="U98" s="12">
        <v>0.1824518929749134</v>
      </c>
      <c r="V98" s="12">
        <v>112.427406805987</v>
      </c>
      <c r="W98" s="12">
        <v>10.0</v>
      </c>
      <c r="X98" s="12">
        <v>114.009182796937</v>
      </c>
      <c r="Y98" s="12">
        <v>0.0012</v>
      </c>
      <c r="Z98" s="12">
        <v>0.0012</v>
      </c>
      <c r="AA98" s="12">
        <v>0.0</v>
      </c>
      <c r="AB98" s="12">
        <v>0.0</v>
      </c>
      <c r="AC98" s="12">
        <v>10.0</v>
      </c>
      <c r="AD98" s="12">
        <v>100.0</v>
      </c>
      <c r="AE98" s="12">
        <v>10.0</v>
      </c>
      <c r="AF98" s="12">
        <v>0.9861258895806023</v>
      </c>
      <c r="AG98" s="12">
        <v>9.269583362057661</v>
      </c>
      <c r="AH98" s="12" t="s">
        <v>426</v>
      </c>
      <c r="AI98" s="12" t="s">
        <v>128</v>
      </c>
      <c r="AJ98" s="12" t="s">
        <v>557</v>
      </c>
      <c r="AK98" s="12">
        <v>9.269583362057661</v>
      </c>
      <c r="AL98" s="12" t="s">
        <v>135</v>
      </c>
      <c r="AM98" s="12"/>
    </row>
    <row r="99" ht="15.75" customHeight="1">
      <c r="A99" s="12" t="s">
        <v>504</v>
      </c>
      <c r="B99" s="12">
        <v>213.0</v>
      </c>
      <c r="C99" s="12">
        <v>7.0</v>
      </c>
      <c r="D99" s="12" t="s">
        <v>554</v>
      </c>
      <c r="E99" s="12" t="s">
        <v>506</v>
      </c>
      <c r="F99" s="12" t="s">
        <v>555</v>
      </c>
      <c r="G99" s="12">
        <v>1.0</v>
      </c>
      <c r="H99" s="12" t="s">
        <v>123</v>
      </c>
      <c r="I99" s="12" t="s">
        <v>124</v>
      </c>
      <c r="J99" s="12" t="s">
        <v>125</v>
      </c>
      <c r="K99" s="12">
        <v>2.0</v>
      </c>
      <c r="L99" s="12" t="s">
        <v>138</v>
      </c>
      <c r="M99" s="12" t="s">
        <v>558</v>
      </c>
      <c r="N99" s="12">
        <v>10.0</v>
      </c>
      <c r="O99" s="12">
        <v>20.0</v>
      </c>
      <c r="P99" s="12">
        <v>15.0</v>
      </c>
      <c r="Q99" s="12">
        <v>-108.8</v>
      </c>
      <c r="R99" s="12">
        <v>0.76</v>
      </c>
      <c r="S99" s="12">
        <v>0.09</v>
      </c>
      <c r="T99" s="12">
        <v>0.2988999999999997</v>
      </c>
      <c r="U99" s="12">
        <v>0.1556284494428823</v>
      </c>
      <c r="V99" s="12">
        <v>123.6470078846587</v>
      </c>
      <c r="W99" s="12">
        <v>10.0</v>
      </c>
      <c r="X99" s="12">
        <v>114.009182796937</v>
      </c>
      <c r="Y99" s="12">
        <v>0.0051</v>
      </c>
      <c r="Z99" s="12">
        <v>0.0051</v>
      </c>
      <c r="AA99" s="12">
        <v>0.0</v>
      </c>
      <c r="AB99" s="12">
        <v>10.0</v>
      </c>
      <c r="AC99" s="12">
        <v>20.0</v>
      </c>
      <c r="AD99" s="12">
        <v>100.0</v>
      </c>
      <c r="AE99" s="12">
        <v>20.0</v>
      </c>
      <c r="AF99" s="12">
        <v>1.084535515923202</v>
      </c>
      <c r="AG99" s="12">
        <v>8.242469921016335</v>
      </c>
      <c r="AH99" s="12" t="s">
        <v>426</v>
      </c>
      <c r="AI99" s="12" t="s">
        <v>128</v>
      </c>
      <c r="AJ99" s="12" t="s">
        <v>557</v>
      </c>
      <c r="AK99" s="12">
        <v>17.512053283073996</v>
      </c>
      <c r="AL99" s="12" t="s">
        <v>135</v>
      </c>
      <c r="AM99" s="12"/>
    </row>
    <row r="100" ht="15.75" customHeight="1">
      <c r="A100" s="12" t="s">
        <v>504</v>
      </c>
      <c r="B100" s="12">
        <v>214.0</v>
      </c>
      <c r="C100" s="12">
        <v>7.0</v>
      </c>
      <c r="D100" s="12" t="s">
        <v>554</v>
      </c>
      <c r="E100" s="12" t="s">
        <v>506</v>
      </c>
      <c r="F100" s="12" t="s">
        <v>555</v>
      </c>
      <c r="G100" s="12">
        <v>1.0</v>
      </c>
      <c r="H100" s="12" t="s">
        <v>123</v>
      </c>
      <c r="I100" s="12" t="s">
        <v>124</v>
      </c>
      <c r="J100" s="12" t="s">
        <v>125</v>
      </c>
      <c r="K100" s="12">
        <v>3.0</v>
      </c>
      <c r="L100" s="12" t="s">
        <v>358</v>
      </c>
      <c r="M100" s="12" t="s">
        <v>559</v>
      </c>
      <c r="N100" s="12">
        <v>20.0</v>
      </c>
      <c r="O100" s="12">
        <v>50.0</v>
      </c>
      <c r="P100" s="12">
        <v>35.0</v>
      </c>
      <c r="Q100" s="12">
        <v>-199.4</v>
      </c>
      <c r="R100" s="12">
        <v>0.59</v>
      </c>
      <c r="S100" s="12">
        <v>0.06</v>
      </c>
      <c r="T100" s="12">
        <v>0.3778999999999999</v>
      </c>
      <c r="U100" s="12">
        <v>0.16285283344106868</v>
      </c>
      <c r="V100" s="12">
        <v>491.205751556478</v>
      </c>
      <c r="W100" s="12">
        <v>30.0</v>
      </c>
      <c r="X100" s="12">
        <v>342.027548390811</v>
      </c>
      <c r="Y100" s="12">
        <v>0.0056</v>
      </c>
      <c r="Z100" s="12">
        <v>0.0056</v>
      </c>
      <c r="AA100" s="12">
        <v>0.0</v>
      </c>
      <c r="AB100" s="12">
        <v>20.0</v>
      </c>
      <c r="AC100" s="12">
        <v>50.0</v>
      </c>
      <c r="AD100" s="12">
        <v>100.0</v>
      </c>
      <c r="AE100" s="12">
        <v>50.0</v>
      </c>
      <c r="AF100" s="12">
        <v>1.4361584435742922</v>
      </c>
      <c r="AG100" s="12">
        <v>25.420004451264973</v>
      </c>
      <c r="AH100" s="12" t="s">
        <v>426</v>
      </c>
      <c r="AI100" s="12" t="s">
        <v>128</v>
      </c>
      <c r="AJ100" s="12" t="s">
        <v>557</v>
      </c>
      <c r="AK100" s="12">
        <v>42.93205773433897</v>
      </c>
      <c r="AL100" s="12" t="s">
        <v>135</v>
      </c>
      <c r="AM100" s="12"/>
    </row>
    <row r="101" ht="15.75" customHeight="1">
      <c r="A101" s="12" t="s">
        <v>504</v>
      </c>
      <c r="B101" s="12">
        <v>215.0</v>
      </c>
      <c r="C101" s="12">
        <v>7.0</v>
      </c>
      <c r="D101" s="12" t="s">
        <v>554</v>
      </c>
      <c r="E101" s="12" t="s">
        <v>506</v>
      </c>
      <c r="F101" s="12" t="s">
        <v>555</v>
      </c>
      <c r="G101" s="12">
        <v>1.0</v>
      </c>
      <c r="H101" s="12" t="s">
        <v>123</v>
      </c>
      <c r="I101" s="12" t="s">
        <v>124</v>
      </c>
      <c r="J101" s="12" t="s">
        <v>125</v>
      </c>
      <c r="K101" s="12">
        <v>4.0</v>
      </c>
      <c r="L101" s="12" t="s">
        <v>368</v>
      </c>
      <c r="M101" s="12" t="s">
        <v>560</v>
      </c>
      <c r="N101" s="12">
        <v>50.0</v>
      </c>
      <c r="O101" s="12">
        <v>75.0</v>
      </c>
      <c r="P101" s="12">
        <v>62.5</v>
      </c>
      <c r="Q101" s="12">
        <v>-393.04771387578006</v>
      </c>
      <c r="R101" s="12">
        <v>0.44</v>
      </c>
      <c r="S101" s="12">
        <v>0.06</v>
      </c>
      <c r="T101" s="12">
        <v>0.32989999999999986</v>
      </c>
      <c r="U101" s="12">
        <v>0.14111557874925137</v>
      </c>
      <c r="V101" s="12">
        <v>375.5009641264011</v>
      </c>
      <c r="W101" s="12">
        <v>25.0</v>
      </c>
      <c r="X101" s="12">
        <v>285.0229569923425</v>
      </c>
      <c r="Y101" s="12">
        <v>3.0E-4</v>
      </c>
      <c r="Z101" s="12">
        <v>3.0E-4</v>
      </c>
      <c r="AA101" s="12">
        <v>0.0</v>
      </c>
      <c r="AB101" s="12">
        <v>50.0</v>
      </c>
      <c r="AC101" s="12">
        <v>75.0</v>
      </c>
      <c r="AD101" s="12">
        <v>100.0</v>
      </c>
      <c r="AE101" s="12">
        <v>75.0</v>
      </c>
      <c r="AF101" s="12">
        <v>1.3174411215461828</v>
      </c>
      <c r="AG101" s="12">
        <v>14.49185233700801</v>
      </c>
      <c r="AH101" s="12" t="s">
        <v>426</v>
      </c>
      <c r="AI101" s="12" t="s">
        <v>128</v>
      </c>
      <c r="AJ101" s="12" t="s">
        <v>557</v>
      </c>
      <c r="AK101" s="12">
        <v>57.42391007134698</v>
      </c>
      <c r="AL101" s="12" t="s">
        <v>135</v>
      </c>
      <c r="AM101" s="12"/>
    </row>
    <row r="102" ht="15.75" customHeight="1">
      <c r="A102" s="12" t="s">
        <v>504</v>
      </c>
      <c r="B102" s="12">
        <v>216.0</v>
      </c>
      <c r="C102" s="12">
        <v>7.0</v>
      </c>
      <c r="D102" s="12" t="s">
        <v>554</v>
      </c>
      <c r="E102" s="12" t="s">
        <v>506</v>
      </c>
      <c r="F102" s="12" t="s">
        <v>555</v>
      </c>
      <c r="G102" s="12">
        <v>1.0</v>
      </c>
      <c r="H102" s="12" t="s">
        <v>123</v>
      </c>
      <c r="I102" s="12" t="s">
        <v>124</v>
      </c>
      <c r="J102" s="12" t="s">
        <v>125</v>
      </c>
      <c r="K102" s="12">
        <v>5.0</v>
      </c>
      <c r="L102" s="12" t="s">
        <v>431</v>
      </c>
      <c r="M102" s="12" t="s">
        <v>561</v>
      </c>
      <c r="N102" s="12">
        <v>75.0</v>
      </c>
      <c r="O102" s="12">
        <v>100.0</v>
      </c>
      <c r="P102" s="12">
        <v>87.5</v>
      </c>
      <c r="Q102" s="12">
        <v>-447.4996166757228</v>
      </c>
      <c r="R102" s="12">
        <v>0.37</v>
      </c>
      <c r="S102" s="12">
        <v>0.05</v>
      </c>
      <c r="T102" s="12">
        <v>0.39600000000000035</v>
      </c>
      <c r="U102" s="12">
        <v>0.1673852396652297</v>
      </c>
      <c r="V102" s="12">
        <v>354.31320008689977</v>
      </c>
      <c r="W102" s="12">
        <v>25.0</v>
      </c>
      <c r="X102" s="12">
        <v>285.0229569923425</v>
      </c>
      <c r="Y102" s="12">
        <v>4.0E-4</v>
      </c>
      <c r="Z102" s="12">
        <v>4.0E-4</v>
      </c>
      <c r="AA102" s="12">
        <v>0.0</v>
      </c>
      <c r="AB102" s="12">
        <v>75.0</v>
      </c>
      <c r="AC102" s="12">
        <v>100.0</v>
      </c>
      <c r="AD102" s="12">
        <v>100.0</v>
      </c>
      <c r="AE102" s="12">
        <v>100.0</v>
      </c>
      <c r="AF102" s="12">
        <v>1.2431040777407234</v>
      </c>
      <c r="AG102" s="12">
        <v>11.498712719101691</v>
      </c>
      <c r="AH102" s="12" t="s">
        <v>426</v>
      </c>
      <c r="AI102" s="12" t="s">
        <v>128</v>
      </c>
      <c r="AJ102" s="12" t="s">
        <v>557</v>
      </c>
      <c r="AK102" s="12">
        <v>68.92262279044867</v>
      </c>
      <c r="AL102" s="12" t="inlineStr">
        <is>
          <t>no</t>
        </is>
      </c>
      <c r="AM102" s="12" t="inlineStr">
        <is>
          <t>Hedgerow 75-100 cm excluded from 0-75 cm models.</t>
        </is>
      </c>
    </row>
    <row r="103" ht="15.75" customHeight="1">
      <c r="A103" s="12" t="s">
        <v>504</v>
      </c>
      <c r="B103" s="12">
        <v>217.0</v>
      </c>
      <c r="C103" s="12">
        <v>7.0</v>
      </c>
      <c r="D103" s="12" t="s">
        <v>554</v>
      </c>
      <c r="E103" s="12" t="s">
        <v>506</v>
      </c>
      <c r="F103" s="12" t="s">
        <v>555</v>
      </c>
      <c r="G103" s="12">
        <v>2.0</v>
      </c>
      <c r="H103" s="12" t="s">
        <v>184</v>
      </c>
      <c r="I103" s="12" t="s">
        <v>124</v>
      </c>
      <c r="J103" s="12" t="s">
        <v>125</v>
      </c>
      <c r="K103" s="12">
        <v>1.0</v>
      </c>
      <c r="L103" s="12" t="s">
        <v>67</v>
      </c>
      <c r="M103" s="12" t="s">
        <v>562</v>
      </c>
      <c r="N103" s="12">
        <v>0.0</v>
      </c>
      <c r="O103" s="12">
        <v>10.0</v>
      </c>
      <c r="P103" s="12">
        <v>5.0</v>
      </c>
      <c r="Q103" s="12">
        <v>-114.25969336180763</v>
      </c>
      <c r="R103" s="12">
        <v>0.99</v>
      </c>
      <c r="S103" s="12">
        <v>0.11</v>
      </c>
      <c r="T103" s="12">
        <v>0.057599999999999874</v>
      </c>
      <c r="U103" s="12">
        <v>0.028440231076877435</v>
      </c>
      <c r="V103" s="12">
        <v>97.92499063805272</v>
      </c>
      <c r="W103" s="12">
        <v>10.0</v>
      </c>
      <c r="X103" s="12">
        <v>114.009182796937</v>
      </c>
      <c r="Y103" s="12">
        <v>0.0227</v>
      </c>
      <c r="Z103" s="12">
        <v>0.0227</v>
      </c>
      <c r="AA103" s="12">
        <v>0.0</v>
      </c>
      <c r="AB103" s="12">
        <v>0.0</v>
      </c>
      <c r="AC103" s="12">
        <v>10.0</v>
      </c>
      <c r="AD103" s="12">
        <v>100.0</v>
      </c>
      <c r="AE103" s="12">
        <v>10.0</v>
      </c>
      <c r="AF103" s="12">
        <v>0.8589219590536666</v>
      </c>
      <c r="AG103" s="12">
        <v>8.503327394631299</v>
      </c>
      <c r="AH103" s="12" t="s">
        <v>426</v>
      </c>
      <c r="AI103" s="12" t="s">
        <v>128</v>
      </c>
      <c r="AJ103" s="12" t="s">
        <v>563</v>
      </c>
      <c r="AK103" s="12">
        <v>8.503327394631299</v>
      </c>
      <c r="AL103" s="12" t="s">
        <v>135</v>
      </c>
      <c r="AM103" s="12"/>
    </row>
    <row r="104" ht="15.75" customHeight="1">
      <c r="A104" s="12" t="s">
        <v>504</v>
      </c>
      <c r="B104" s="12">
        <v>218.0</v>
      </c>
      <c r="C104" s="12">
        <v>7.0</v>
      </c>
      <c r="D104" s="12" t="s">
        <v>554</v>
      </c>
      <c r="E104" s="12" t="s">
        <v>506</v>
      </c>
      <c r="F104" s="12" t="s">
        <v>555</v>
      </c>
      <c r="G104" s="12">
        <v>2.0</v>
      </c>
      <c r="H104" s="12" t="s">
        <v>184</v>
      </c>
      <c r="I104" s="12" t="s">
        <v>124</v>
      </c>
      <c r="J104" s="12" t="s">
        <v>125</v>
      </c>
      <c r="K104" s="12">
        <v>2.0</v>
      </c>
      <c r="L104" s="12" t="s">
        <v>138</v>
      </c>
      <c r="M104" s="12" t="s">
        <v>564</v>
      </c>
      <c r="N104" s="12">
        <v>10.0</v>
      </c>
      <c r="O104" s="12">
        <v>20.0</v>
      </c>
      <c r="P104" s="12">
        <v>15.0</v>
      </c>
      <c r="Q104" s="12">
        <v>-110.7649662134852</v>
      </c>
      <c r="R104" s="12">
        <v>0.81</v>
      </c>
      <c r="S104" s="12">
        <v>0.09</v>
      </c>
      <c r="T104" s="12">
        <v>0.15910000000000002</v>
      </c>
      <c r="U104" s="12">
        <v>0.07059815406460775</v>
      </c>
      <c r="V104" s="12">
        <v>130.3943963194761</v>
      </c>
      <c r="W104" s="12">
        <v>10.0</v>
      </c>
      <c r="X104" s="12">
        <v>114.009182796937</v>
      </c>
      <c r="Y104" s="12">
        <v>0.0052</v>
      </c>
      <c r="Z104" s="12">
        <v>0.0052</v>
      </c>
      <c r="AA104" s="12">
        <v>0.0</v>
      </c>
      <c r="AB104" s="12">
        <v>10.0</v>
      </c>
      <c r="AC104" s="12">
        <v>20.0</v>
      </c>
      <c r="AD104" s="12">
        <v>100.0</v>
      </c>
      <c r="AE104" s="12">
        <v>20.0</v>
      </c>
      <c r="AF104" s="12">
        <v>1.1437183665435353</v>
      </c>
      <c r="AG104" s="12">
        <v>9.264118769002637</v>
      </c>
      <c r="AH104" s="12" t="s">
        <v>426</v>
      </c>
      <c r="AI104" s="12" t="s">
        <v>128</v>
      </c>
      <c r="AJ104" s="12" t="s">
        <v>563</v>
      </c>
      <c r="AK104" s="12">
        <v>17.767446163633934</v>
      </c>
      <c r="AL104" s="12" t="s">
        <v>135</v>
      </c>
      <c r="AM104" s="12"/>
    </row>
    <row r="105" ht="15.75" customHeight="1">
      <c r="A105" s="12" t="s">
        <v>504</v>
      </c>
      <c r="B105" s="12">
        <v>219.0</v>
      </c>
      <c r="C105" s="12">
        <v>7.0</v>
      </c>
      <c r="D105" s="12" t="s">
        <v>554</v>
      </c>
      <c r="E105" s="12" t="s">
        <v>506</v>
      </c>
      <c r="F105" s="12" t="s">
        <v>555</v>
      </c>
      <c r="G105" s="12">
        <v>2.0</v>
      </c>
      <c r="H105" s="12" t="s">
        <v>184</v>
      </c>
      <c r="I105" s="12" t="s">
        <v>124</v>
      </c>
      <c r="J105" s="12" t="s">
        <v>125</v>
      </c>
      <c r="K105" s="12">
        <v>3.0</v>
      </c>
      <c r="L105" s="12" t="s">
        <v>358</v>
      </c>
      <c r="M105" s="12" t="s">
        <v>565</v>
      </c>
      <c r="N105" s="12">
        <v>20.0</v>
      </c>
      <c r="O105" s="12">
        <v>50.0</v>
      </c>
      <c r="P105" s="12">
        <v>35.0</v>
      </c>
      <c r="Q105" s="12">
        <v>-254.84374417615817</v>
      </c>
      <c r="R105" s="12">
        <v>0.51</v>
      </c>
      <c r="S105" s="12">
        <v>0.06</v>
      </c>
      <c r="T105" s="12">
        <v>0.3066</v>
      </c>
      <c r="U105" s="12">
        <v>0.1542563896156168</v>
      </c>
      <c r="V105" s="12">
        <v>391.19558190218817</v>
      </c>
      <c r="W105" s="12">
        <v>30.0</v>
      </c>
      <c r="X105" s="12">
        <v>342.027548390811</v>
      </c>
      <c r="Y105" s="12">
        <v>3.0E-4</v>
      </c>
      <c r="Z105" s="12">
        <v>3.0E-4</v>
      </c>
      <c r="AA105" s="12">
        <v>0.0</v>
      </c>
      <c r="AB105" s="12">
        <v>20.0</v>
      </c>
      <c r="AC105" s="12">
        <v>50.0</v>
      </c>
      <c r="AD105" s="12">
        <v>100.0</v>
      </c>
      <c r="AE105" s="12">
        <v>50.0</v>
      </c>
      <c r="AF105" s="12">
        <v>1.1437546003025356</v>
      </c>
      <c r="AG105" s="12">
        <v>17.499445384628796</v>
      </c>
      <c r="AH105" s="12" t="s">
        <v>426</v>
      </c>
      <c r="AI105" s="12" t="s">
        <v>128</v>
      </c>
      <c r="AJ105" s="12" t="s">
        <v>563</v>
      </c>
      <c r="AK105" s="12">
        <v>35.266891548262734</v>
      </c>
      <c r="AL105" s="12" t="s">
        <v>135</v>
      </c>
      <c r="AM105" s="12"/>
    </row>
    <row r="106" ht="15.75" customHeight="1">
      <c r="A106" s="12" t="s">
        <v>504</v>
      </c>
      <c r="B106" s="12">
        <v>220.0</v>
      </c>
      <c r="C106" s="12">
        <v>7.0</v>
      </c>
      <c r="D106" s="12" t="s">
        <v>554</v>
      </c>
      <c r="E106" s="12" t="s">
        <v>506</v>
      </c>
      <c r="F106" s="12" t="s">
        <v>555</v>
      </c>
      <c r="G106" s="12">
        <v>2.0</v>
      </c>
      <c r="H106" s="12" t="s">
        <v>184</v>
      </c>
      <c r="I106" s="12" t="s">
        <v>124</v>
      </c>
      <c r="J106" s="12" t="s">
        <v>125</v>
      </c>
      <c r="K106" s="12">
        <v>4.0</v>
      </c>
      <c r="L106" s="12" t="s">
        <v>368</v>
      </c>
      <c r="M106" s="12" t="s">
        <v>566</v>
      </c>
      <c r="N106" s="12">
        <v>50.0</v>
      </c>
      <c r="O106" s="12">
        <v>75.0</v>
      </c>
      <c r="P106" s="12">
        <v>62.5</v>
      </c>
      <c r="Q106" s="12">
        <v>-376.3735426193963</v>
      </c>
      <c r="R106" s="12">
        <v>0.38</v>
      </c>
      <c r="S106" s="12">
        <v>0.05</v>
      </c>
      <c r="T106" s="12">
        <v>0.3022999999999998</v>
      </c>
      <c r="U106" s="12">
        <v>0.17623739287588167</v>
      </c>
      <c r="V106" s="12">
        <v>304.16479034496433</v>
      </c>
      <c r="W106" s="12">
        <v>25.0</v>
      </c>
      <c r="X106" s="12">
        <v>285.0229569923425</v>
      </c>
      <c r="Y106" s="12">
        <v>0.0</v>
      </c>
      <c r="Z106" s="12">
        <v>0.0</v>
      </c>
      <c r="AA106" s="12">
        <v>0.0</v>
      </c>
      <c r="AB106" s="12">
        <v>50.0</v>
      </c>
      <c r="AC106" s="12">
        <v>75.0</v>
      </c>
      <c r="AD106" s="12">
        <v>100.0</v>
      </c>
      <c r="AE106" s="12">
        <v>75.0</v>
      </c>
      <c r="AF106" s="12">
        <v>1.06715891784512</v>
      </c>
      <c r="AG106" s="12">
        <v>10.13800971952864</v>
      </c>
      <c r="AH106" s="12" t="s">
        <v>426</v>
      </c>
      <c r="AI106" s="12" t="s">
        <v>128</v>
      </c>
      <c r="AJ106" s="12" t="s">
        <v>563</v>
      </c>
      <c r="AK106" s="12">
        <v>45.404901267791374</v>
      </c>
      <c r="AL106" s="12" t="s">
        <v>135</v>
      </c>
      <c r="AM106" s="12"/>
    </row>
    <row r="107" ht="15.75" customHeight="1">
      <c r="A107" s="12" t="s">
        <v>504</v>
      </c>
      <c r="B107" s="12">
        <v>221.0</v>
      </c>
      <c r="C107" s="12">
        <v>7.0</v>
      </c>
      <c r="D107" s="12" t="s">
        <v>554</v>
      </c>
      <c r="E107" s="12" t="s">
        <v>506</v>
      </c>
      <c r="F107" s="12" t="s">
        <v>555</v>
      </c>
      <c r="G107" s="12">
        <v>2.0</v>
      </c>
      <c r="H107" s="12" t="s">
        <v>184</v>
      </c>
      <c r="I107" s="12" t="s">
        <v>124</v>
      </c>
      <c r="J107" s="12" t="s">
        <v>125</v>
      </c>
      <c r="K107" s="12">
        <v>5.0</v>
      </c>
      <c r="L107" s="12" t="s">
        <v>431</v>
      </c>
      <c r="M107" s="12" t="s">
        <v>567</v>
      </c>
      <c r="N107" s="12">
        <v>75.0</v>
      </c>
      <c r="O107" s="12">
        <v>100.0</v>
      </c>
      <c r="P107" s="12">
        <v>87.5</v>
      </c>
      <c r="Q107" s="12">
        <v>-369.51813465856</v>
      </c>
      <c r="R107" s="12">
        <v>0.32</v>
      </c>
      <c r="S107" s="12">
        <v>0.05</v>
      </c>
      <c r="T107" s="12">
        <v>0.3399000000000001</v>
      </c>
      <c r="U107" s="12">
        <v>0.15514880408983023</v>
      </c>
      <c r="V107" s="12">
        <v>284.38760342988104</v>
      </c>
      <c r="W107" s="12">
        <v>25.0</v>
      </c>
      <c r="X107" s="12">
        <v>285.0229569923425</v>
      </c>
      <c r="Y107" s="12">
        <v>0.0016</v>
      </c>
      <c r="Z107" s="12">
        <v>0.0016</v>
      </c>
      <c r="AA107" s="12">
        <v>0.0</v>
      </c>
      <c r="AB107" s="12">
        <v>75.0</v>
      </c>
      <c r="AC107" s="12">
        <v>100.0</v>
      </c>
      <c r="AD107" s="12">
        <v>100.0</v>
      </c>
      <c r="AE107" s="12">
        <v>100.0</v>
      </c>
      <c r="AF107" s="12">
        <v>0.9977708688129339</v>
      </c>
      <c r="AG107" s="12">
        <v>7.982166950503471</v>
      </c>
      <c r="AH107" s="12" t="s">
        <v>426</v>
      </c>
      <c r="AI107" s="12" t="s">
        <v>128</v>
      </c>
      <c r="AJ107" s="12" t="s">
        <v>563</v>
      </c>
      <c r="AK107" s="12">
        <v>53.38706821829484</v>
      </c>
      <c r="AL107" s="12" t="inlineStr">
        <is>
          <t>no</t>
        </is>
      </c>
      <c r="AM107" s="12" t="inlineStr">
        <is>
          <t>Hedgerow 75-100 cm excluded from 0-75 cm models.</t>
        </is>
      </c>
    </row>
    <row r="108" ht="15.75" customHeight="1">
      <c r="A108" s="12" t="s">
        <v>504</v>
      </c>
      <c r="B108" s="12">
        <v>222.0</v>
      </c>
      <c r="C108" s="12">
        <v>7.0</v>
      </c>
      <c r="D108" s="12" t="s">
        <v>554</v>
      </c>
      <c r="E108" s="12" t="s">
        <v>506</v>
      </c>
      <c r="F108" s="12" t="s">
        <v>555</v>
      </c>
      <c r="G108" s="12">
        <v>3.0</v>
      </c>
      <c r="H108" s="12" t="s">
        <v>259</v>
      </c>
      <c r="I108" s="12" t="s">
        <v>124</v>
      </c>
      <c r="J108" s="12" t="s">
        <v>125</v>
      </c>
      <c r="K108" s="12">
        <v>1.0</v>
      </c>
      <c r="L108" s="12" t="s">
        <v>67</v>
      </c>
      <c r="M108" s="12" t="s">
        <v>568</v>
      </c>
      <c r="N108" s="12">
        <v>0.0</v>
      </c>
      <c r="O108" s="12">
        <v>10.0</v>
      </c>
      <c r="P108" s="12">
        <v>5.0</v>
      </c>
      <c r="Q108" s="12">
        <v>-119.43109844819566</v>
      </c>
      <c r="R108" s="12">
        <v>0.91</v>
      </c>
      <c r="S108" s="12">
        <v>0.1</v>
      </c>
      <c r="T108" s="12">
        <v>0.11479999999999979</v>
      </c>
      <c r="U108" s="12">
        <v>0.05610673965104335</v>
      </c>
      <c r="V108" s="12">
        <v>133.5187010042112</v>
      </c>
      <c r="W108" s="12">
        <v>10.0</v>
      </c>
      <c r="X108" s="12">
        <v>114.009182796937</v>
      </c>
      <c r="Y108" s="12">
        <v>0.014</v>
      </c>
      <c r="Z108" s="12">
        <v>0.014</v>
      </c>
      <c r="AA108" s="12">
        <v>0.0</v>
      </c>
      <c r="AB108" s="12">
        <v>0.0</v>
      </c>
      <c r="AC108" s="12">
        <v>10.0</v>
      </c>
      <c r="AD108" s="12">
        <v>100.0</v>
      </c>
      <c r="AE108" s="12">
        <v>10.0</v>
      </c>
      <c r="AF108" s="12">
        <v>1.1711223405751696</v>
      </c>
      <c r="AG108" s="12">
        <v>10.657213299234042</v>
      </c>
      <c r="AH108" s="12" t="s">
        <v>426</v>
      </c>
      <c r="AI108" s="12" t="s">
        <v>128</v>
      </c>
      <c r="AJ108" s="12" t="s">
        <v>569</v>
      </c>
      <c r="AK108" s="12">
        <v>10.657213299234042</v>
      </c>
      <c r="AL108" s="12" t="s">
        <v>135</v>
      </c>
      <c r="AM108" s="12"/>
    </row>
    <row r="109" ht="15.75" customHeight="1">
      <c r="A109" s="12" t="s">
        <v>504</v>
      </c>
      <c r="B109" s="12">
        <v>223.0</v>
      </c>
      <c r="C109" s="12">
        <v>7.0</v>
      </c>
      <c r="D109" s="12" t="s">
        <v>554</v>
      </c>
      <c r="E109" s="12" t="s">
        <v>506</v>
      </c>
      <c r="F109" s="12" t="s">
        <v>555</v>
      </c>
      <c r="G109" s="12">
        <v>3.0</v>
      </c>
      <c r="H109" s="12" t="s">
        <v>259</v>
      </c>
      <c r="I109" s="12" t="s">
        <v>124</v>
      </c>
      <c r="J109" s="12" t="s">
        <v>125</v>
      </c>
      <c r="K109" s="12">
        <v>2.0</v>
      </c>
      <c r="L109" s="12" t="s">
        <v>138</v>
      </c>
      <c r="M109" s="12" t="s">
        <v>570</v>
      </c>
      <c r="N109" s="12">
        <v>10.0</v>
      </c>
      <c r="O109" s="12">
        <v>20.0</v>
      </c>
      <c r="P109" s="12">
        <v>15.0</v>
      </c>
      <c r="Q109" s="12">
        <v>-102.32956947483885</v>
      </c>
      <c r="R109" s="12">
        <v>0.71</v>
      </c>
      <c r="S109" s="12">
        <v>0.08</v>
      </c>
      <c r="T109" s="12">
        <v>0.22389999999999954</v>
      </c>
      <c r="U109" s="12">
        <v>0.09651694111561322</v>
      </c>
      <c r="V109" s="12">
        <v>121.09252034438025</v>
      </c>
      <c r="W109" s="12">
        <v>10.0</v>
      </c>
      <c r="X109" s="12">
        <v>114.009182796937</v>
      </c>
      <c r="Y109" s="12">
        <v>0.0021</v>
      </c>
      <c r="Z109" s="12">
        <v>0.0021</v>
      </c>
      <c r="AA109" s="12">
        <v>0.0</v>
      </c>
      <c r="AB109" s="12">
        <v>10.0</v>
      </c>
      <c r="AC109" s="12">
        <v>20.0</v>
      </c>
      <c r="AD109" s="12">
        <v>100.0</v>
      </c>
      <c r="AE109" s="12">
        <v>20.0</v>
      </c>
      <c r="AF109" s="12">
        <v>1.062129535302954</v>
      </c>
      <c r="AG109" s="12">
        <v>7.541119700650974</v>
      </c>
      <c r="AH109" s="12" t="s">
        <v>426</v>
      </c>
      <c r="AI109" s="12" t="s">
        <v>128</v>
      </c>
      <c r="AJ109" s="12" t="s">
        <v>569</v>
      </c>
      <c r="AK109" s="12">
        <v>18.198332999885018</v>
      </c>
      <c r="AL109" s="12" t="s">
        <v>135</v>
      </c>
      <c r="AM109" s="12"/>
    </row>
    <row r="110" ht="15.75" customHeight="1">
      <c r="A110" s="12" t="s">
        <v>504</v>
      </c>
      <c r="B110" s="12">
        <v>224.0</v>
      </c>
      <c r="C110" s="12">
        <v>7.0</v>
      </c>
      <c r="D110" s="12" t="s">
        <v>554</v>
      </c>
      <c r="E110" s="12" t="s">
        <v>506</v>
      </c>
      <c r="F110" s="12" t="s">
        <v>555</v>
      </c>
      <c r="G110" s="12">
        <v>3.0</v>
      </c>
      <c r="H110" s="12" t="s">
        <v>259</v>
      </c>
      <c r="I110" s="12" t="s">
        <v>124</v>
      </c>
      <c r="J110" s="12" t="s">
        <v>125</v>
      </c>
      <c r="K110" s="12">
        <v>3.0</v>
      </c>
      <c r="L110" s="12" t="s">
        <v>358</v>
      </c>
      <c r="M110" s="12" t="s">
        <v>571</v>
      </c>
      <c r="N110" s="12">
        <v>20.0</v>
      </c>
      <c r="O110" s="12">
        <v>50.0</v>
      </c>
      <c r="P110" s="12">
        <v>35.0</v>
      </c>
      <c r="Q110" s="12">
        <v>-111.346461520346</v>
      </c>
      <c r="R110" s="12">
        <v>0.63</v>
      </c>
      <c r="S110" s="12">
        <v>0.07</v>
      </c>
      <c r="T110" s="12">
        <v>0.2655000000000003</v>
      </c>
      <c r="U110" s="12">
        <v>0.14345923164208152</v>
      </c>
      <c r="V110" s="12">
        <v>394.2160660618088</v>
      </c>
      <c r="W110" s="12">
        <v>30.0</v>
      </c>
      <c r="X110" s="12">
        <v>342.027548390811</v>
      </c>
      <c r="Y110" s="12">
        <v>0.003</v>
      </c>
      <c r="Z110" s="12">
        <v>0.003</v>
      </c>
      <c r="AA110" s="12">
        <v>0.0</v>
      </c>
      <c r="AB110" s="12">
        <v>20.0</v>
      </c>
      <c r="AC110" s="12">
        <v>50.0</v>
      </c>
      <c r="AD110" s="12">
        <v>100.0</v>
      </c>
      <c r="AE110" s="12">
        <v>50.0</v>
      </c>
      <c r="AF110" s="12">
        <v>1.1525857139769504</v>
      </c>
      <c r="AG110" s="12">
        <v>21.783869994164363</v>
      </c>
      <c r="AH110" s="12" t="s">
        <v>426</v>
      </c>
      <c r="AI110" s="12" t="s">
        <v>128</v>
      </c>
      <c r="AJ110" s="12" t="s">
        <v>569</v>
      </c>
      <c r="AK110" s="12">
        <v>39.98220299404938</v>
      </c>
      <c r="AL110" s="12" t="s">
        <v>135</v>
      </c>
      <c r="AM110" s="12"/>
    </row>
    <row r="111" ht="15.75" customHeight="1">
      <c r="A111" s="12" t="s">
        <v>504</v>
      </c>
      <c r="B111" s="12">
        <v>225.0</v>
      </c>
      <c r="C111" s="12">
        <v>7.0</v>
      </c>
      <c r="D111" s="12" t="s">
        <v>554</v>
      </c>
      <c r="E111" s="12" t="s">
        <v>506</v>
      </c>
      <c r="F111" s="12" t="s">
        <v>555</v>
      </c>
      <c r="G111" s="12">
        <v>3.0</v>
      </c>
      <c r="H111" s="12" t="s">
        <v>259</v>
      </c>
      <c r="I111" s="12" t="s">
        <v>124</v>
      </c>
      <c r="J111" s="12" t="s">
        <v>125</v>
      </c>
      <c r="K111" s="12">
        <v>4.0</v>
      </c>
      <c r="L111" s="12" t="s">
        <v>368</v>
      </c>
      <c r="M111" s="12" t="s">
        <v>572</v>
      </c>
      <c r="N111" s="12">
        <v>50.0</v>
      </c>
      <c r="O111" s="12">
        <v>75.0</v>
      </c>
      <c r="P111" s="12">
        <v>62.5</v>
      </c>
      <c r="Q111" s="12">
        <v>-260.21145755761023</v>
      </c>
      <c r="R111" s="12">
        <v>0.45</v>
      </c>
      <c r="S111" s="12">
        <v>0.06</v>
      </c>
      <c r="T111" s="12">
        <v>0.28659999999999997</v>
      </c>
      <c r="U111" s="12">
        <v>0.15716165825838999</v>
      </c>
      <c r="V111" s="12">
        <v>335.78713676428777</v>
      </c>
      <c r="W111" s="12">
        <v>25.0</v>
      </c>
      <c r="X111" s="12">
        <v>285.0229569923425</v>
      </c>
      <c r="Y111" s="12">
        <v>0.0</v>
      </c>
      <c r="Z111" s="12">
        <v>0.0</v>
      </c>
      <c r="AA111" s="12">
        <v>0.0</v>
      </c>
      <c r="AB111" s="12">
        <v>50.0</v>
      </c>
      <c r="AC111" s="12">
        <v>75.0</v>
      </c>
      <c r="AD111" s="12">
        <v>100.0</v>
      </c>
      <c r="AE111" s="12">
        <v>75.0</v>
      </c>
      <c r="AF111" s="12">
        <v>1.178105582468254</v>
      </c>
      <c r="AG111" s="12">
        <v>13.253687802767859</v>
      </c>
      <c r="AH111" s="12" t="s">
        <v>426</v>
      </c>
      <c r="AI111" s="12" t="s">
        <v>128</v>
      </c>
      <c r="AJ111" s="12" t="s">
        <v>569</v>
      </c>
      <c r="AK111" s="12">
        <v>53.23589079681724</v>
      </c>
      <c r="AL111" s="12" t="s">
        <v>135</v>
      </c>
      <c r="AM111" s="12"/>
    </row>
    <row r="112" ht="15.75" customHeight="1">
      <c r="A112" s="13" t="s">
        <v>504</v>
      </c>
      <c r="B112" s="13">
        <v>226.0</v>
      </c>
      <c r="C112" s="13">
        <v>7.0</v>
      </c>
      <c r="D112" s="13" t="s">
        <v>554</v>
      </c>
      <c r="E112" s="13" t="s">
        <v>506</v>
      </c>
      <c r="F112" s="13" t="s">
        <v>555</v>
      </c>
      <c r="G112" s="13">
        <v>3.0</v>
      </c>
      <c r="H112" s="13" t="s">
        <v>259</v>
      </c>
      <c r="I112" s="13" t="s">
        <v>124</v>
      </c>
      <c r="J112" s="13" t="s">
        <v>125</v>
      </c>
      <c r="K112" s="13">
        <v>5.0</v>
      </c>
      <c r="L112" s="13" t="s">
        <v>431</v>
      </c>
      <c r="M112" s="13" t="s">
        <v>573</v>
      </c>
      <c r="N112" s="13">
        <v>75.0</v>
      </c>
      <c r="O112" s="13">
        <v>100.0</v>
      </c>
      <c r="P112" s="13">
        <v>87.5</v>
      </c>
      <c r="Q112" s="13">
        <v>-330.97180800452907</v>
      </c>
      <c r="R112" s="13">
        <v>0.36</v>
      </c>
      <c r="S112" s="13">
        <v>0.05</v>
      </c>
      <c r="T112" s="13">
        <v>0.33320000000000016</v>
      </c>
      <c r="U112" s="13">
        <v>0.16986999745093048</v>
      </c>
      <c r="V112" s="13">
        <v>345.91877805377607</v>
      </c>
      <c r="W112" s="13">
        <v>25.0</v>
      </c>
      <c r="X112" s="13">
        <v>285.0229569923425</v>
      </c>
      <c r="Y112" s="13">
        <v>8.0E-4</v>
      </c>
      <c r="Z112" s="13">
        <v>8.0E-4</v>
      </c>
      <c r="AA112" s="13">
        <v>0.0</v>
      </c>
      <c r="AB112" s="13">
        <v>75.0</v>
      </c>
      <c r="AC112" s="13">
        <v>100.0</v>
      </c>
      <c r="AD112" s="13">
        <v>100.0</v>
      </c>
      <c r="AE112" s="13">
        <v>100.0</v>
      </c>
      <c r="AF112" s="13">
        <v>1.2136523377065014</v>
      </c>
      <c r="AG112" s="13">
        <v>10.922871039358512</v>
      </c>
      <c r="AH112" s="13" t="s">
        <v>426</v>
      </c>
      <c r="AI112" s="13" t="s">
        <v>128</v>
      </c>
      <c r="AJ112" s="13" t="s">
        <v>569</v>
      </c>
      <c r="AK112" s="13">
        <v>64.15876183617576</v>
      </c>
      <c r="AL112" s="13" t="inlineStr">
        <is>
          <t>no</t>
        </is>
      </c>
      <c r="AM112" s="13" t="inlineStr">
        <is>
          <t>Hedgerow 75-100 cm excluded from 0-75 cm models.</t>
        </is>
      </c>
    </row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0.0"/>
    <col customWidth="1" min="2" max="2" width="100.0"/>
    <col customWidth="1" min="3" max="3" width="24.0"/>
    <col customWidth="1" min="4" max="4" width="32.0"/>
    <col customWidth="1" min="5" max="26" width="8.63"/>
  </cols>
  <sheetData>
    <row r="1">
      <c r="A1" s="9" t="s">
        <v>152</v>
      </c>
      <c r="B1" s="9" t="s">
        <v>153</v>
      </c>
      <c r="C1" s="9" t="s">
        <v>154</v>
      </c>
      <c r="D1" s="9" t="s">
        <v>155</v>
      </c>
    </row>
    <row r="2" ht="33.75" customHeight="1">
      <c r="A2" s="14" t="s">
        <v>80</v>
      </c>
      <c r="B2" s="14" t="s">
        <v>157</v>
      </c>
      <c r="C2" s="14" t="s">
        <v>158</v>
      </c>
      <c r="D2" s="14" t="s">
        <v>159</v>
      </c>
    </row>
    <row r="3" ht="33.75" customHeight="1">
      <c r="A3" s="15" t="s">
        <v>81</v>
      </c>
      <c r="B3" s="15" t="s">
        <v>160</v>
      </c>
      <c r="C3" s="15" t="s">
        <v>161</v>
      </c>
      <c r="D3" s="15" t="s">
        <v>159</v>
      </c>
    </row>
    <row r="4" ht="33.75" customHeight="1">
      <c r="A4" s="15" t="s">
        <v>82</v>
      </c>
      <c r="B4" s="15" t="s">
        <v>163</v>
      </c>
      <c r="C4" s="15" t="s">
        <v>161</v>
      </c>
      <c r="D4" s="15" t="s">
        <v>159</v>
      </c>
    </row>
    <row r="5" ht="33.75" customHeight="1">
      <c r="A5" s="15" t="s">
        <v>83</v>
      </c>
      <c r="B5" s="15" t="s">
        <v>164</v>
      </c>
      <c r="C5" s="15" t="s">
        <v>158</v>
      </c>
      <c r="D5" s="15" t="s">
        <v>159</v>
      </c>
    </row>
    <row r="6" ht="33.75" customHeight="1">
      <c r="A6" s="15" t="s">
        <v>84</v>
      </c>
      <c r="B6" s="15" t="s">
        <v>165</v>
      </c>
      <c r="C6" s="15" t="s">
        <v>158</v>
      </c>
      <c r="D6" s="15" t="s">
        <v>166</v>
      </c>
    </row>
    <row r="7" ht="33.75" customHeight="1">
      <c r="A7" s="15" t="s">
        <v>85</v>
      </c>
      <c r="B7" s="15" t="s">
        <v>167</v>
      </c>
      <c r="C7" s="15" t="s">
        <v>169</v>
      </c>
      <c r="D7" s="15" t="s">
        <v>166</v>
      </c>
    </row>
    <row r="8" ht="33.75" customHeight="1">
      <c r="A8" s="15" t="s">
        <v>86</v>
      </c>
      <c r="B8" s="15" t="s">
        <v>171</v>
      </c>
      <c r="C8" s="15" t="s">
        <v>158</v>
      </c>
      <c r="D8" s="15" t="s">
        <v>166</v>
      </c>
    </row>
    <row r="9" ht="33.75" customHeight="1">
      <c r="A9" s="15" t="s">
        <v>87</v>
      </c>
      <c r="B9" s="15" t="s">
        <v>172</v>
      </c>
      <c r="C9" s="15" t="s">
        <v>158</v>
      </c>
      <c r="D9" s="15" t="s">
        <v>166</v>
      </c>
    </row>
    <row r="10" ht="33.75" customHeight="1">
      <c r="A10" s="15" t="s">
        <v>88</v>
      </c>
      <c r="B10" s="15" t="s">
        <v>173</v>
      </c>
      <c r="C10" s="15" t="s">
        <v>158</v>
      </c>
      <c r="D10" s="15" t="s">
        <v>159</v>
      </c>
    </row>
    <row r="11" ht="33.75" customHeight="1">
      <c r="A11" s="15" t="s">
        <v>89</v>
      </c>
      <c r="B11" s="15" t="s">
        <v>174</v>
      </c>
      <c r="C11" s="15" t="s">
        <v>158</v>
      </c>
      <c r="D11" s="15" t="s">
        <v>159</v>
      </c>
    </row>
    <row r="12" ht="33.75" customHeight="1">
      <c r="A12" s="15" t="s">
        <v>90</v>
      </c>
      <c r="B12" s="15" t="s">
        <v>176</v>
      </c>
      <c r="C12" s="15" t="s">
        <v>161</v>
      </c>
      <c r="D12" s="15" t="s">
        <v>166</v>
      </c>
    </row>
    <row r="13" ht="33.75" customHeight="1">
      <c r="A13" s="15" t="s">
        <v>30</v>
      </c>
      <c r="B13" s="15" t="s">
        <v>177</v>
      </c>
      <c r="C13" s="15" t="s">
        <v>178</v>
      </c>
      <c r="D13" s="15" t="s">
        <v>166</v>
      </c>
    </row>
    <row r="14" ht="33.75" customHeight="1">
      <c r="A14" s="15" t="s">
        <v>93</v>
      </c>
      <c r="B14" s="15" t="s">
        <v>180</v>
      </c>
      <c r="C14" s="15" t="s">
        <v>158</v>
      </c>
      <c r="D14" s="15" t="s">
        <v>159</v>
      </c>
    </row>
    <row r="15" ht="33.75" customHeight="1">
      <c r="A15" s="15" t="s">
        <v>94</v>
      </c>
      <c r="B15" s="15" t="s">
        <v>181</v>
      </c>
      <c r="C15" s="15" t="s">
        <v>182</v>
      </c>
      <c r="D15" s="15" t="s">
        <v>183</v>
      </c>
    </row>
    <row r="16" ht="33.75" customHeight="1">
      <c r="A16" s="15" t="s">
        <v>95</v>
      </c>
      <c r="B16" s="15" t="s">
        <v>185</v>
      </c>
      <c r="C16" s="15" t="s">
        <v>182</v>
      </c>
      <c r="D16" s="15" t="s">
        <v>183</v>
      </c>
    </row>
    <row r="17" ht="33.75" customHeight="1">
      <c r="A17" s="15" t="s">
        <v>96</v>
      </c>
      <c r="B17" s="15" t="s">
        <v>186</v>
      </c>
      <c r="C17" s="15" t="s">
        <v>182</v>
      </c>
      <c r="D17" s="15" t="s">
        <v>183</v>
      </c>
    </row>
    <row r="18" ht="33.75" customHeight="1">
      <c r="A18" s="15" t="s">
        <v>97</v>
      </c>
      <c r="B18" s="15" t="s">
        <v>188</v>
      </c>
      <c r="C18" s="15" t="s">
        <v>189</v>
      </c>
      <c r="D18" s="15" t="s">
        <v>24</v>
      </c>
    </row>
    <row r="19" ht="33.75" customHeight="1">
      <c r="A19" s="15" t="s">
        <v>49</v>
      </c>
      <c r="B19" s="16" t="s">
        <v>190</v>
      </c>
      <c r="C19" s="15" t="s">
        <v>192</v>
      </c>
      <c r="D19" s="15" t="s">
        <v>193</v>
      </c>
    </row>
    <row r="20" ht="33.75" customHeight="1">
      <c r="A20" s="15" t="s">
        <v>98</v>
      </c>
      <c r="B20" s="15" t="s">
        <v>194</v>
      </c>
      <c r="C20" s="15" t="s">
        <v>192</v>
      </c>
      <c r="D20" s="15" t="s">
        <v>195</v>
      </c>
    </row>
    <row r="21" ht="33.75" customHeight="1">
      <c r="A21" s="15" t="s">
        <v>99</v>
      </c>
      <c r="B21" s="15" t="s">
        <v>196</v>
      </c>
      <c r="C21" s="15" t="s">
        <v>197</v>
      </c>
      <c r="D21" s="15" t="s">
        <v>198</v>
      </c>
    </row>
    <row r="22" ht="33.75" customHeight="1">
      <c r="A22" s="15" t="s">
        <v>100</v>
      </c>
      <c r="B22" s="15" t="s">
        <v>200</v>
      </c>
      <c r="C22" s="15" t="s">
        <v>201</v>
      </c>
      <c r="D22" s="15" t="s">
        <v>198</v>
      </c>
    </row>
    <row r="23" ht="33.75" customHeight="1">
      <c r="A23" s="15" t="s">
        <v>102</v>
      </c>
      <c r="B23" s="15" t="s">
        <v>202</v>
      </c>
      <c r="C23" s="15" t="s">
        <v>197</v>
      </c>
      <c r="D23" s="15" t="s">
        <v>198</v>
      </c>
    </row>
    <row r="24" ht="33.75" customHeight="1">
      <c r="A24" s="15" t="s">
        <v>103</v>
      </c>
      <c r="B24" s="15" t="s">
        <v>203</v>
      </c>
      <c r="C24" s="15" t="s">
        <v>182</v>
      </c>
      <c r="D24" s="15" t="s">
        <v>205</v>
      </c>
    </row>
    <row r="25" ht="33.75" customHeight="1">
      <c r="A25" s="15" t="s">
        <v>104</v>
      </c>
      <c r="B25" s="15" t="s">
        <v>206</v>
      </c>
      <c r="C25" s="15" t="s">
        <v>207</v>
      </c>
      <c r="D25" s="15" t="s">
        <v>205</v>
      </c>
    </row>
    <row r="26" ht="42" customHeight="1">
      <c r="A26" s="15" t="s">
        <v>105</v>
      </c>
      <c r="B26" s="15" t="inlineStr">
        <is>
          <t xml:space="preserve">Root-mass value imported from the laboratory sheet before the documented corrections. Retained unchanged for source provenance.</t>
        </is>
      </c>
      <c r="C26" s="15" t="s">
        <v>197</v>
      </c>
      <c r="D26" s="15" t="s">
        <v>183</v>
      </c>
    </row>
    <row r="27" ht="54" customHeight="1">
      <c r="A27" s="15" t="s">
        <v>106</v>
      </c>
      <c r="B27" s="15" t="inlineStr">
        <is>
          <t xml:space="preserve">Recovered root dry mass per increment after the sample 143 correction and author-provided October 15-16 annual corrections. Confirmed no-roots-recovered annual samples are 0 g.</t>
        </is>
      </c>
      <c r="C27" s="15" t="s">
        <v>197</v>
      </c>
      <c r="D27" s="15" t="s">
        <v>24</v>
      </c>
    </row>
    <row r="28" ht="33.75" customHeight="1">
      <c r="A28" s="15" t="s">
        <v>107</v>
      </c>
      <c r="B28" s="15" t="s">
        <v>211</v>
      </c>
      <c r="C28" s="15" t="s">
        <v>182</v>
      </c>
      <c r="D28" s="15" t="s">
        <v>205</v>
      </c>
    </row>
    <row r="29" ht="33.75" customHeight="1">
      <c r="A29" s="15" t="s">
        <v>108</v>
      </c>
      <c r="B29" s="15" t="s">
        <v>213</v>
      </c>
      <c r="C29" s="15" t="s">
        <v>182</v>
      </c>
      <c r="D29" s="15" t="s">
        <v>205</v>
      </c>
    </row>
    <row r="30" ht="33.75" customHeight="1">
      <c r="A30" s="15" t="s">
        <v>109</v>
      </c>
      <c r="B30" s="15" t="s">
        <v>214</v>
      </c>
      <c r="C30" s="15" t="s">
        <v>182</v>
      </c>
      <c r="D30" s="15" t="s">
        <v>205</v>
      </c>
    </row>
    <row r="31" ht="33.75" customHeight="1">
      <c r="A31" s="15" t="s">
        <v>110</v>
      </c>
      <c r="B31" s="15" t="s">
        <v>215</v>
      </c>
      <c r="C31" s="15" t="s">
        <v>182</v>
      </c>
      <c r="D31" s="15" t="s">
        <v>205</v>
      </c>
    </row>
    <row r="32" ht="33.75" customHeight="1">
      <c r="A32" s="15" t="s">
        <v>111</v>
      </c>
      <c r="B32" s="15" t="s">
        <v>216</v>
      </c>
      <c r="C32" s="15" t="s">
        <v>182</v>
      </c>
      <c r="D32" s="15" t="s">
        <v>205</v>
      </c>
    </row>
    <row r="33" ht="33.75" customHeight="1">
      <c r="A33" s="15" t="s">
        <v>72</v>
      </c>
      <c r="B33" s="15" t="s">
        <v>217</v>
      </c>
      <c r="C33" s="15" t="s">
        <v>218</v>
      </c>
      <c r="D33" s="15" t="s">
        <v>219</v>
      </c>
    </row>
    <row r="34" ht="33.75" customHeight="1">
      <c r="A34" s="15" t="s">
        <v>112</v>
      </c>
      <c r="B34" s="15" t="s">
        <v>220</v>
      </c>
      <c r="C34" s="15" t="s">
        <v>221</v>
      </c>
      <c r="D34" s="15" t="s">
        <v>205</v>
      </c>
    </row>
    <row r="35" ht="33.75" customHeight="1">
      <c r="A35" s="15" t="s">
        <v>114</v>
      </c>
      <c r="B35" s="15" t="s">
        <v>222</v>
      </c>
      <c r="C35" s="15" t="s">
        <v>158</v>
      </c>
      <c r="D35" s="15" t="s">
        <v>166</v>
      </c>
    </row>
    <row r="36" ht="33.75" customHeight="1">
      <c r="A36" s="15" t="s">
        <v>23</v>
      </c>
      <c r="B36" s="15" t="s">
        <v>223</v>
      </c>
      <c r="C36" s="15" t="s">
        <v>158</v>
      </c>
      <c r="D36" s="15" t="s">
        <v>166</v>
      </c>
    </row>
    <row r="37" ht="33.75" customHeight="1">
      <c r="A37" s="15" t="s">
        <v>116</v>
      </c>
      <c r="B37" s="15" t="s">
        <v>225</v>
      </c>
      <c r="C37" s="15" t="s">
        <v>158</v>
      </c>
      <c r="D37" s="15" t="s">
        <v>226</v>
      </c>
    </row>
    <row r="38" ht="33.75" customHeight="1">
      <c r="A38" s="15" t="s">
        <v>117</v>
      </c>
      <c r="B38" s="15" t="s">
        <v>228</v>
      </c>
      <c r="C38" s="15" t="s">
        <v>221</v>
      </c>
      <c r="D38" s="15" t="s">
        <v>229</v>
      </c>
    </row>
    <row r="39" ht="33.75" customHeight="1">
      <c r="A39" s="15" t="s">
        <v>118</v>
      </c>
      <c r="B39" s="15" t="inlineStr">
        <is>
          <t>Yes for the 96 current model rows and no for the six orchard and nine hedgerow 75-100 cm rows excluded from the common 0-75 cm perennial analyses.</t>
        </is>
      </c>
      <c r="C39" s="15" t="s">
        <v>231</v>
      </c>
      <c r="D39" s="15" t="s">
        <v>232</v>
      </c>
    </row>
    <row r="40" ht="33.75" customHeight="1">
      <c r="A40" s="17" t="s">
        <v>119</v>
      </c>
      <c r="B40" s="17" t="s">
        <v>233</v>
      </c>
      <c r="C40" s="17" t="s">
        <v>158</v>
      </c>
      <c r="D40" s="17" t="s">
        <v>232</v>
      </c>
    </row>
    <row r="41" ht="66" customHeight="1">
      <c r="A41" s="18" t="str">
        <f t="array" ref="A41:D44">{"root_density_offset_mg_cm3","Modeled root-density response: 1000*(root_weight_g+0.00017)/volume_cm3. Annual results use corrected October 16 masses; perennial tests retain the existing saved full-interaction Gamma density fits.","mg cm^-3","Table S1 root contrasts; Figure 2a fitted means";"annual_root_display_estimate","Adjusted fitted mean minus 1000*0.00017/volume_cm3. Subtracting this fixed addition leaves the model SE unchanged.","mg cm^-3","Figure 2a display";"annual_root_pairwise_ratio","Monoculture / polyculture ratio of adjusted fitted means with pointwise 95% Wald confidence limits and unadjusted p-values. All monoculture masses at 40-50 and 50-100 cm were zero, so deep ratios depend strongly on the added mass and are not precise biological fold changes.","ratio","Table S1 within-depth, annual roots";"annual_root_model_se","Response-scale model SE for fixed-effects fitted means with the core random intercept set to zero. Error bars show plus/minus one SE, not confidence intervals.","mg cm^-3","Figure 2a uncertainty"}</f>
        <v>root_density_offset_mg_cm3</v>
      </c>
      <c r="B41" s="18" t="inlineStr">
        <is>
          <t xml:space="preserve">Modeled root-density response: 1000*(root_weight_g+0.00017)/volume_cm3. Annual results use corrected October 16 masses; perennial tests retain the existing saved full-interaction Gamma density fits.</t>
        </is>
      </c>
      <c r="C41" s="18" t="s">
        <v>240</v>
      </c>
      <c r="D41" s="18" t="inlineStr">
        <is>
          <t xml:space="preserve">Table S1 root contrasts; Figure 2a fitted means</t>
        </is>
      </c>
    </row>
    <row r="42" ht="15.75" customHeight="1">
      <c r="A42" s="19" t="s">
        <v>242</v>
      </c>
      <c r="B42" s="19" t="s">
        <v>243</v>
      </c>
      <c r="C42" s="19" t="s">
        <v>240</v>
      </c>
      <c r="D42" s="19" t="s">
        <v>244</v>
      </c>
    </row>
    <row r="43" ht="78" customHeight="1">
      <c r="A43" s="19" t="s">
        <v>245</v>
      </c>
      <c r="B43" s="22" t="inlineStr">
        <is>
          <t xml:space="preserve">Monoculture / polyculture ratio of adjusted fitted means with pointwise 95% Wald confidence limits and unadjusted p-values. All monoculture masses at 40-50 and 50-100 cm were zero, so deep ratios depend strongly on the added mass and are not precise biological fold changes.</t>
        </is>
      </c>
      <c r="C43" s="19" t="s">
        <v>131</v>
      </c>
      <c r="D43" s="19" t="s">
        <v>247</v>
      </c>
    </row>
    <row r="44" ht="36" customHeight="1">
      <c r="A44" s="19" t="s">
        <v>248</v>
      </c>
      <c r="B44" s="22" t="s">
        <v>249</v>
      </c>
      <c r="C44" s="19" t="s">
        <v>240</v>
      </c>
      <c r="D44" s="19" t="s">
        <v>250</v>
      </c>
    </row>
    <row r="45" ht="60" customHeight="1">
      <c r="A45" s="15" t="inlineStr">
        <is>
          <t xml:space="preserve">observed_density_mg_cm3</t>
        </is>
      </c>
      <c r="B45" s="15" t="inlineStr">
        <is>
          <t xml:space="preserve">Measured recovered root mass per sampled soil volume: 1000*working_root_mass_g/volume_cm3, with no addition. Values are core increments, not fitted means.</t>
        </is>
      </c>
      <c r="C45" s="15" t="inlineStr">
        <is>
          <t xml:space="preserve">mg cm^-3</t>
        </is>
      </c>
      <c r="D45" s="15" t="inlineStr">
        <is>
          <t xml:space="preserve">Figures 3a and 4a measured profiles</t>
        </is>
      </c>
    </row>
    <row r="46" ht="60" customHeight="1">
      <c r="A46" s="15" t="inlineStr">
        <is>
          <t xml:space="preserve">working_root_mass_g</t>
        </is>
      </c>
      <c r="B46" s="15" t="inlineStr">
        <is>
          <t xml:space="preserve">Working recovered root mass for the identified sample, matched to Sample data root_weight. Original imported values remain in root_weight_raw.</t>
        </is>
      </c>
      <c r="C46" s="15" t="inlineStr">
        <is>
          <t xml:space="preserve">g</t>
        </is>
      </c>
      <c r="D46" s="15" t="inlineStr">
        <is>
          <t xml:space="preserve">Observed root profiles input</t>
        </is>
      </c>
    </row>
    <row r="47" ht="60" customHeight="1">
      <c r="A47" s="15" t="inlineStr">
        <is>
          <t xml:space="preserve">addition_g</t>
        </is>
      </c>
      <c r="B47" s="15" t="inlineStr">
        <is>
          <t xml:space="preserve">Zero for every measured perennial profile value. The separate Gamma tests retain their existing positive added mass.</t>
        </is>
      </c>
      <c r="C47" s="15" t="inlineStr">
        <is>
          <t xml:space="preserve">g</t>
        </is>
      </c>
      <c r="D47" s="15" t="inlineStr">
        <is>
          <t xml:space="preserve">Observed root profiles</t>
        </is>
      </c>
    </row>
    <row r="48" ht="60" customHeight="1">
      <c r="A48" s="15" t="inlineStr">
        <is>
          <t xml:space="preserve">perennial_root_density_ratio</t>
        </is>
      </c>
      <c r="B48" s="15" t="inlineStr">
        <is>
          <t xml:space="preserve">Ratio of shifted-density fitted means from the saved full Gamma management-by-depth model. Pointwise 95% Wald limits and unadjusted p-values are retained; these are not measured-profile uncertainty intervals.</t>
        </is>
      </c>
      <c r="C48" s="15" t="inlineStr">
        <is>
          <t xml:space="preserve">ratio</t>
        </is>
      </c>
      <c r="D48" s="15" t="inlineStr">
        <is>
          <t xml:space="preserve">Table S1 perennial root comparisons</t>
        </is>
      </c>
    </row>
    <row r="49" ht="60" customHeight="1">
      <c r="A49" s="15" t="inlineStr">
        <is>
          <t xml:space="preserve">cumulative_c_stock_t_C_ha</t>
        </is>
      </c>
      <c r="B49" s="15" t="inlineStr">
        <is>
          <t xml:space="preserve">Observed cumulative C stock from the surface to the bottom of the indicated increment, matched to Sample data cumulative_c_stock. No fitted uncertainty is added.</t>
        </is>
      </c>
      <c r="C49" s="15" t="inlineStr">
        <is>
          <t xml:space="preserve">t C ha^-1</t>
        </is>
      </c>
      <c r="D49" s="15" t="str">
        <v>Observed orchard profiles; observed stock means in Figures 2c-4c</v>
      </c>
    </row>
    <row r="50" ht="60" customHeight="1">
      <c r="A50" s="15" t="inlineStr">
        <is>
          <t xml:space="preserve">layer_c_stock_t_C_ha</t>
        </is>
      </c>
      <c r="B50" s="15" t="inlineStr">
        <is>
          <t xml:space="preserve">Observed increment C stock, matched to Sample data layer_c_stock. Its within-core running sum is cumulative_c_stock_t_C_ha.</t>
        </is>
      </c>
      <c r="C50" s="15" t="inlineStr">
        <is>
          <t xml:space="preserve">t C ha^-1</t>
        </is>
      </c>
      <c r="D50" s="15" t="inlineStr">
        <is>
          <t xml:space="preserve">Observed stock profiles input</t>
        </is>
      </c>
    </row>
    <row r="51" ht="42" customHeight="1">
      <c r="A51" t="str" s="15">
        <v>estimate_method</v>
      </c>
      <c r="B51" t="str" s="15">
        <v>Fitted model family for model estimates, or Observed core mean for measured cumulative-stock summaries.</v>
      </c>
      <c r="C51" t="str" s="15">
        <v>text</v>
      </c>
      <c r="D51" t="str" s="15">
        <v>Figure values estimator</v>
      </c>
    </row>
    <row r="52" ht="42" customHeight="1">
      <c r="A52" t="str" s="15">
        <v>estimate</v>
      </c>
      <c r="B52" t="str" s="15">
        <v>Response-scale fitted mean or observed core mean, as identified by estimate_method.</v>
      </c>
      <c r="C52" t="str" s="15">
        <v>response units</v>
      </c>
      <c r="D52" t="str" s="15">
        <v>Figure values</v>
      </c>
    </row>
    <row r="53" ht="42" customHeight="1">
      <c r="A53" t="str" s="15">
        <v>standard_error</v>
      </c>
      <c r="B53" t="str" s="15">
        <v>Model SE for fitted means or sample SD divided by the square root of the number of cores for observed stock means.</v>
      </c>
      <c r="C53" t="str" s="15">
        <v>response units</v>
      </c>
      <c r="D53" t="str" s="15">
        <v>Figure uncertainty</v>
      </c>
    </row>
    <row r="54" ht="42" customHeight="1">
      <c r="A54" t="str" s="15">
        <v>lower_one_se</v>
      </c>
      <c r="B54" t="str" s="15">
        <v>Estimate minus one standard_error. These bounds are not confidence intervals.</v>
      </c>
      <c r="C54" t="str" s="15">
        <v>response units</v>
      </c>
      <c r="D54" t="str" s="15">
        <v>Figure uncertainty</v>
      </c>
    </row>
    <row r="55" ht="42" customHeight="1">
      <c r="A55" t="str" s="15">
        <v>upper_one_se</v>
      </c>
      <c r="B55" t="str" s="15">
        <v>Estimate plus one standard_error. These bounds are not confidence intervals.</v>
      </c>
      <c r="C55" t="str" s="15">
        <v>response units</v>
      </c>
      <c r="D55" t="str" s="15">
        <v>Figure uncertainty</v>
      </c>
    </row>
    <row r="56" ht="42" customHeight="1">
      <c r="A56" t="str" s="15">
        <v>p_Holm_six_hedgerow_tests</v>
      </c>
      <c r="B56" t="str" s="15">
        <v>Holm-adjusted p-value across all three hedgerow pairs at both 0-20 and 0-75 cm, a family of six tests.</v>
      </c>
      <c r="C56" t="str" s="15">
        <v>probability</v>
      </c>
      <c r="D56" t="str" s="15">
        <v>Endpoint Welch</v>
      </c>
    </row>
    <row r="57" ht="42" customHeight="1">
      <c r="A57" t="str" s="15">
        <v>endpoint_stock_sd</v>
      </c>
      <c r="B57" t="str" s="15">
        <v>Sample SD among the three cores from the sampled field or field-margin location.</v>
      </c>
      <c r="C57" t="str" s="15">
        <v>t C ha^-1</v>
      </c>
      <c r="D57" t="str" s="15">
        <v>Endpoint group summaries</v>
      </c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8.0"/>
    <col customWidth="1" min="2" max="2" width="100.0"/>
    <col customWidth="1" min="3" max="3" width="68.0"/>
    <col customWidth="1" min="4" max="4" width="16.0"/>
    <col customWidth="1" min="5" max="5" width="70.0"/>
    <col customWidth="1" min="6" max="26" width="8.63"/>
  </cols>
  <sheetData>
    <row r="1">
      <c r="A1" s="9" t="s">
        <v>258</v>
      </c>
      <c r="B1" s="9" t="s">
        <v>260</v>
      </c>
      <c r="C1" s="9" t="s">
        <v>261</v>
      </c>
      <c r="D1" s="9" t="s">
        <v>262</v>
      </c>
      <c r="E1" s="9" t="s">
        <v>155</v>
      </c>
    </row>
    <row r="2" ht="33.75" customHeight="1">
      <c r="A2" s="14" t="s">
        <v>264</v>
      </c>
      <c r="B2" s="14" t="s">
        <v>265</v>
      </c>
      <c r="C2" s="14" t="s">
        <v>266</v>
      </c>
      <c r="D2" s="14">
        <v>26182.0</v>
      </c>
      <c r="E2" s="14" t="s">
        <v>267</v>
      </c>
    </row>
    <row r="3" ht="33.75" customHeight="1">
      <c r="A3" s="15" t="s">
        <v>264</v>
      </c>
      <c r="B3" s="15" t="s">
        <v>269</v>
      </c>
      <c r="C3" s="15" t="s">
        <v>270</v>
      </c>
      <c r="D3" s="15">
        <v>15003.0</v>
      </c>
      <c r="E3" s="15" t="s">
        <v>267</v>
      </c>
    </row>
    <row r="4" ht="33.75" customHeight="1">
      <c r="A4" s="15" t="s">
        <v>264</v>
      </c>
      <c r="B4" s="15" t="s">
        <v>271</v>
      </c>
      <c r="C4" s="15" t="s">
        <v>272</v>
      </c>
      <c r="D4" s="15">
        <v>50659.0</v>
      </c>
      <c r="E4" s="15" t="s">
        <v>267</v>
      </c>
    </row>
    <row r="5" ht="33.75" customHeight="1">
      <c r="A5" s="15" t="s">
        <v>264</v>
      </c>
      <c r="B5" s="15" t="s">
        <v>274</v>
      </c>
      <c r="C5" s="15" t="s">
        <v>275</v>
      </c>
      <c r="D5" s="15">
        <v>31140.0</v>
      </c>
      <c r="E5" s="15" t="s">
        <v>267</v>
      </c>
    </row>
    <row r="6" ht="33.75" customHeight="1">
      <c r="A6" s="15" t="s">
        <v>264</v>
      </c>
      <c r="B6" s="15" t="s">
        <v>276</v>
      </c>
      <c r="C6" s="15" t="s">
        <v>277</v>
      </c>
      <c r="D6" s="15">
        <v>46032.0</v>
      </c>
      <c r="E6" s="15" t="s">
        <v>267</v>
      </c>
    </row>
    <row r="7" ht="33.75" customHeight="1">
      <c r="A7" s="15" t="s">
        <v>264</v>
      </c>
      <c r="B7" s="15" t="s">
        <v>279</v>
      </c>
      <c r="C7" s="15" t="s">
        <v>280</v>
      </c>
      <c r="D7" s="15">
        <v>43367.0</v>
      </c>
      <c r="E7" s="15" t="s">
        <v>267</v>
      </c>
    </row>
    <row r="8" ht="33.75" customHeight="1">
      <c r="A8" s="15" t="s">
        <v>264</v>
      </c>
      <c r="B8" s="15" t="s">
        <v>282</v>
      </c>
      <c r="C8" s="15" t="s">
        <v>283</v>
      </c>
      <c r="D8" s="15">
        <v>25930.0</v>
      </c>
      <c r="E8" s="15" t="s">
        <v>267</v>
      </c>
    </row>
    <row r="9" ht="33.75" customHeight="1">
      <c r="A9" s="15" t="s">
        <v>264</v>
      </c>
      <c r="B9" s="15" t="s">
        <v>284</v>
      </c>
      <c r="C9" s="15" t="s">
        <v>285</v>
      </c>
      <c r="D9" s="15">
        <v>9372.0</v>
      </c>
      <c r="E9" s="15" t="s">
        <v>267</v>
      </c>
    </row>
    <row r="10" ht="33.75" customHeight="1">
      <c r="A10" s="15" t="s">
        <v>264</v>
      </c>
      <c r="B10" s="15" t="s">
        <v>286</v>
      </c>
      <c r="C10" s="15" t="s">
        <v>287</v>
      </c>
      <c r="D10" s="15">
        <v>14102.0</v>
      </c>
      <c r="E10" s="15" t="s">
        <v>267</v>
      </c>
    </row>
    <row r="11" ht="33.75" customHeight="1">
      <c r="A11" s="15" t="s">
        <v>264</v>
      </c>
      <c r="B11" s="15" t="s">
        <v>289</v>
      </c>
      <c r="C11" s="15" t="s">
        <v>290</v>
      </c>
      <c r="D11" s="15">
        <v>14039.0</v>
      </c>
      <c r="E11" s="15" t="s">
        <v>267</v>
      </c>
    </row>
    <row r="12" ht="33.75" customHeight="1">
      <c r="A12" s="15" t="s">
        <v>264</v>
      </c>
      <c r="B12" s="15" t="s">
        <v>291</v>
      </c>
      <c r="C12" s="15" t="s">
        <v>292</v>
      </c>
      <c r="D12" s="15">
        <v>23840.0</v>
      </c>
      <c r="E12" s="15" t="s">
        <v>267</v>
      </c>
    </row>
    <row r="13" ht="33.75" customHeight="1">
      <c r="A13" s="15" t="s">
        <v>264</v>
      </c>
      <c r="B13" s="15" t="s">
        <v>293</v>
      </c>
      <c r="C13" s="15" t="s">
        <v>294</v>
      </c>
      <c r="D13" s="15">
        <v>11305.0</v>
      </c>
      <c r="E13" s="15" t="s">
        <v>267</v>
      </c>
    </row>
    <row r="14" ht="66" customHeight="1">
      <c r="A14" s="15" t="s">
        <v>296</v>
      </c>
      <c r="B14" s="15" t="s">
        <v>297</v>
      </c>
      <c r="C14" s="15" t="s">
        <v>299</v>
      </c>
      <c r="D14" s="15">
        <v>32735.0</v>
      </c>
      <c r="E14" s="15" t="inlineStr">
        <is>
          <t xml:space="preserve">Historical 111-row table before the October 15-16 annual corrections. Its original hash is retained; corrected annual working masses are now in Sample data and the October 16 snapshot below.</t>
        </is>
      </c>
    </row>
    <row r="15" ht="66" customHeight="1">
      <c r="A15" s="15" t="s">
        <v>301</v>
      </c>
      <c r="B15" s="15" t="s">
        <v>302</v>
      </c>
      <c r="C15" s="15" t="s">
        <v>303</v>
      </c>
      <c r="D15" s="15">
        <v>33014.0</v>
      </c>
      <c r="E15" s="15" t="inlineStr">
        <is>
          <t xml:space="preserve">Historical 105-row model input before the October 15-16 annual corrections. Retained for provenance; annual results now use the corrected 36-row snapshot below.</t>
        </is>
      </c>
    </row>
    <row r="16" ht="66" customHeight="1">
      <c r="A16" s="15" t="s">
        <v>305</v>
      </c>
      <c r="B16" s="15" t="s">
        <v>306</v>
      </c>
      <c r="C16" s="15" t="s">
        <v>307</v>
      </c>
      <c r="D16" s="15">
        <v>5059.0</v>
      </c>
      <c r="E16" s="15" t="inlineStr">
        <is>
          <t>Historical selected Type III Wald output. Annual and orchard non-root results are retained; hedgerow non-root tests are superseded by the October 19 common 0-75 cm outputs below. Current root-density outputs are recorded separately.</t>
        </is>
      </c>
    </row>
    <row r="17" ht="66" customHeight="1">
      <c r="A17" s="15" t="s">
        <v>305</v>
      </c>
      <c r="B17" s="15" t="s">
        <v>309</v>
      </c>
      <c r="C17" s="15" t="s">
        <v>310</v>
      </c>
      <c r="D17" s="15">
        <v>21926.0</v>
      </c>
      <c r="E17" s="15" t="inlineStr">
        <is>
          <t>Historical unadjusted pairwise contrasts. Root rows are superseded by corrected annual and saved perennial density contrasts. Hedgerow non-root rows are superseded by the October 19 common 0-75 cm outputs below.</t>
        </is>
      </c>
    </row>
    <row r="18" ht="66" customHeight="1">
      <c r="A18" s="15" t="s">
        <v>305</v>
      </c>
      <c r="B18" s="15" t="s">
        <v>313</v>
      </c>
      <c r="C18" s="15" t="s">
        <v>314</v>
      </c>
      <c r="D18" s="15">
        <v>10404.0</v>
      </c>
      <c r="E18" s="15" t="inlineStr">
        <is>
          <t>Historical marker tests. Annual symbols use corrected October 16 p-values. Measured perennial root panels show no significance symbols. Hedgerow non-root markers now use the October 19 common 0-75 cm joint tests below.</t>
        </is>
      </c>
    </row>
    <row r="19" ht="66" customHeight="1">
      <c r="A19" s="15" t="s">
        <v>305</v>
      </c>
      <c r="B19" s="15" t="s">
        <v>316</v>
      </c>
      <c r="C19" s="15" t="s">
        <v>317</v>
      </c>
      <c r="D19" s="15">
        <v>26560.0</v>
      </c>
      <c r="E19" s="15" t="inlineStr">
        <is>
          <t>Historical fitted values. Corrected annual root means and SEs are current; perennial root-mass fit rows were removed from Figure values. Annual and orchard non-root values are retained. Hedgerow non-root values now use the October 19 common 0-75 cm outputs below.</t>
        </is>
      </c>
    </row>
    <row r="20" ht="66" customHeight="1">
      <c r="A20" s="15" t="s">
        <v>305</v>
      </c>
      <c r="B20" s="15" t="s">
        <v>320</v>
      </c>
      <c r="C20" s="15" t="s">
        <v>322</v>
      </c>
      <c r="D20" s="15">
        <v>2088.0</v>
      </c>
      <c r="E20" s="15" t="inlineStr">
        <is>
          <t xml:space="preserve">Historical model diagnostics. Corrected annual-root residual and support checks are listed below.</t>
        </is>
      </c>
    </row>
    <row r="21" ht="33.75" customHeight="1">
      <c r="A21" s="15" t="s">
        <v>324</v>
      </c>
      <c r="B21" s="15" t="s">
        <v>325</v>
      </c>
      <c r="C21" s="15" t="s">
        <v>326</v>
      </c>
      <c r="D21" s="15">
        <v>660.0</v>
      </c>
      <c r="E21" s="15" t="inlineStr">
        <is>
          <t>Historical Type III Wald tests for bulk density. Annual and orchard results are retained; hedgerow tests are superseded by the October 19 common 0-75 cm supporting analysis below.</t>
        </is>
      </c>
    </row>
    <row r="22" ht="66" customHeight="1">
      <c r="A22" s="15" t="s">
        <v>329</v>
      </c>
      <c r="B22" s="15" t="s">
        <v>330</v>
      </c>
      <c r="C22" s="15" t="s">
        <v>331</v>
      </c>
      <c r="D22" s="15">
        <v>16653.0</v>
      </c>
      <c r="E22" s="15" t="inlineStr">
        <is>
          <t xml:space="preserve">Historical response-model code for the original selected outputs. Corrected annual Gamma code is listed below.</t>
        </is>
      </c>
    </row>
    <row r="23" ht="33.75" customHeight="1">
      <c r="A23" s="15" t="s">
        <v>329</v>
      </c>
      <c r="B23" s="15" t="s">
        <v>333</v>
      </c>
      <c r="C23" s="15" t="s">
        <v>334</v>
      </c>
      <c r="D23" s="15">
        <v>3722.0</v>
      </c>
      <c r="E23" s="15" t="inlineStr">
        <is>
          <t>Historical bulk-density model and tests, including the former deeper hedgerow scope. The October 19 code below applies the common 0-75 cm hedgerow scope.</t>
        </is>
      </c>
    </row>
    <row r="24" ht="66" customHeight="1">
      <c r="A24" s="15" t="s">
        <v>337</v>
      </c>
      <c r="B24" s="15" t="s">
        <v>338</v>
      </c>
      <c r="C24" s="15" t="s">
        <v>339</v>
      </c>
      <c r="D24" s="15">
        <v>5858.0</v>
      </c>
      <c r="E24" s="15" t="inlineStr">
        <is>
          <t>Historical four-panel rendering source. Figure 2a uses corrected saved fitted values; Figures 3a and 4a use measured core profiles. Figures 4b-d now use the October 19 common 0-75 cm hedgerow outputs.</t>
        </is>
      </c>
    </row>
    <row r="25" ht="33.75" customHeight="1">
      <c r="A25" s="17" t="s">
        <v>341</v>
      </c>
      <c r="B25" s="17" t="s">
        <v>342</v>
      </c>
      <c r="C25" s="17" t="s">
        <v>344</v>
      </c>
      <c r="D25" s="17">
        <v>162438.0</v>
      </c>
      <c r="E25" s="17" t="s">
        <v>347</v>
      </c>
    </row>
    <row r="26" ht="66" customHeight="1">
      <c r="A26" s="18" t="str">
        <f t="array" ref="A26:E29">{"annual root update","https://colab.research.google.com/drive/1sSgYM45Ksz3aUMix5C5NZvNtfkdOKhPh#scrollTo=CfZKbfIxJHnL","","","Historical October 15 Gamma fit. Superseded for annual roots by the corrected October 16 outputs below.";"annual root values","https://docs.google.com/spreadsheets/d/1U6rKr-eYnzB5zhFS-mF4CqJ6im19iapc9O03pIfkgI8/edit#gid=232771915","","","Working analysis workbook link. October 16 corrected masses are the annual input; earlier fitted-values tabs may retain superseded results.";"Figure 2 render","https://colab.research.google.com/drive/1sSgYM45Ksz3aUMix5C5NZvNtfkdOKhPh#scrollTo=2vUoI5rrPAOx","","","Historical October 15 panel replacement. The October 16 review figure uses corrected annual outputs.";"publication update","https://docs.google.com/spreadsheets/d/123lmfzBLDyktUUPaWuL1P0tHII8VLYP_lMsVzckySoU/edit","","","Historical October 15 publication update. Annual masses, means and contrasts are now superseded by the October 16 reconciliation."}</f>
        <v>annual root update</v>
      </c>
      <c r="B26" s="20" t="s">
        <v>351</v>
      </c>
      <c r="C26" s="18" t="s">
        <v>133</v>
      </c>
      <c r="D26" s="18" t="s">
        <v>133</v>
      </c>
      <c r="E26" s="22" t="inlineStr">
        <is>
          <t xml:space="preserve">Historical October 15 Gamma fit. Superseded for annual roots by the corrected October 16 outputs below.</t>
        </is>
      </c>
    </row>
    <row r="27" ht="66" customHeight="1">
      <c r="A27" s="19" t="s">
        <v>355</v>
      </c>
      <c r="B27" s="21" t="s">
        <v>356</v>
      </c>
      <c r="C27" s="19" t="s">
        <v>133</v>
      </c>
      <c r="D27" s="19" t="s">
        <v>133</v>
      </c>
      <c r="E27" s="22" t="inlineStr">
        <is>
          <t xml:space="preserve">Working analysis workbook link. October 16 corrected masses are the annual input; earlier fitted-values tabs may retain superseded results.</t>
        </is>
      </c>
    </row>
    <row r="28" ht="66" customHeight="1">
      <c r="A28" s="19" t="s">
        <v>360</v>
      </c>
      <c r="B28" s="21" t="s">
        <v>361</v>
      </c>
      <c r="C28" s="19" t="s">
        <v>133</v>
      </c>
      <c r="D28" s="19" t="s">
        <v>133</v>
      </c>
      <c r="E28" s="22" t="inlineStr">
        <is>
          <t xml:space="preserve">Historical October 15 panel replacement. The October 16 review figure uses corrected annual outputs.</t>
        </is>
      </c>
    </row>
    <row r="29" ht="66" customHeight="1">
      <c r="A29" s="19" t="s">
        <v>363</v>
      </c>
      <c r="B29" s="21" t="s">
        <v>364</v>
      </c>
      <c r="C29" s="19" t="s">
        <v>133</v>
      </c>
      <c r="D29" s="19" t="s">
        <v>133</v>
      </c>
      <c r="E29" s="22" t="inlineStr">
        <is>
          <t xml:space="preserve">Historical October 15 publication update. Annual masses, means and contrasts are now superseded by the October 16 reconciliation.</t>
        </is>
      </c>
    </row>
    <row r="30" ht="66" customHeight="1">
      <c r="A30" s="22" t="inlineStr">
        <is>
          <t xml:space="preserve">corrected annual input</t>
        </is>
      </c>
      <c r="B30" s="22" t="inlineStr">
        <is>
          <t xml:space="preserve">_analysis/annual_gamma_sensitivity_2026-10-16/input/annual_corrected_root_profiles.csv</t>
        </is>
      </c>
      <c r="C30" s="22" t="inlineStr">
        <is>
          <t xml:space="preserve">dbd8ac31d10140c9b0bc7fbd2f86da82fb15e5ad428d35ea1d4c2c3114796d96</t>
        </is>
      </c>
      <c r="D30" s="22">
        <v>4911</v>
      </c>
      <c r="E30" s="22" t="inlineStr">
        <is>
          <t xml:space="preserve">Author-corrected 36 annual rows, nine no-recovery zeros and actual sampled volumes used in October 16 Gamma fits.</t>
        </is>
      </c>
    </row>
    <row r="31" ht="66" customHeight="1">
      <c r="A31" s="22" t="inlineStr">
        <is>
          <t xml:space="preserve">corrected annual output</t>
        </is>
      </c>
      <c r="B31" s="22" t="inlineStr">
        <is>
          <t xml:space="preserve">_analysis/annual_gamma_sensitivity_2026-10-16/outputs/field_contrasts.csv</t>
        </is>
      </c>
      <c r="C31" s="22" t="inlineStr">
        <is>
          <t xml:space="preserve">d70c8e977ddd57f4a23bb8fae2acc39b3f6c827c5c4c9d78ee309f508645fd66</t>
        </is>
      </c>
      <c r="D31" s="22">
        <v>4501</v>
      </c>
      <c r="E31" s="22" t="inlineStr">
        <is>
          <t xml:space="preserve">October 16 field contrasts for half/original/double added mass. Original-constant reciprocal contrasts populate Table S1 rows 2-7.</t>
        </is>
      </c>
    </row>
    <row r="32" ht="66" customHeight="1">
      <c r="A32" s="22" t="inlineStr">
        <is>
          <t xml:space="preserve">corrected annual output</t>
        </is>
      </c>
      <c r="B32" s="22" t="inlineStr">
        <is>
          <t xml:space="preserve">_analysis/annual_gamma_sensitivity_2026-10-16/outputs/adjusted_density_cell_means.csv</t>
        </is>
      </c>
      <c r="C32" s="22" t="inlineStr">
        <is>
          <t xml:space="preserve">58a8a7b5a6f2fb3d85fe4359a24ef998ec763b6702119643c7610852ec2421cd</t>
        </is>
      </c>
      <c r="D32" s="22">
        <v>6484</v>
      </c>
      <c r="E32" s="22" t="inlineStr">
        <is>
          <t xml:space="preserve">October 16 fitted means and response-scale SEs. Original-constant rows populate Figure values rows 2-13.</t>
        </is>
      </c>
    </row>
    <row r="33" ht="66" customHeight="1">
      <c r="A33" s="22" t="inlineStr">
        <is>
          <t xml:space="preserve">corrected annual output</t>
        </is>
      </c>
      <c r="B33" s="22" t="inlineStr">
        <is>
          <t xml:space="preserve">_analysis/annual_gamma_sensitivity_2026-10-16/outputs/omnibus_wald_tests.csv</t>
        </is>
      </c>
      <c r="C33" s="22" t="inlineStr">
        <is>
          <t xml:space="preserve">d11365d10604e8cf071f7be97c1b0fa67ac47d7ddf31ed068707e5e0e18788c7</t>
        </is>
      </c>
      <c r="D33" s="22">
        <v>827</v>
      </c>
      <c r="E33" s="22" t="inlineStr">
        <is>
          <t xml:space="preserve">October 16 equal-depth/equal-field Wald tests and management-by-depth interaction at three constants.</t>
        </is>
      </c>
    </row>
    <row r="34" ht="66" customHeight="1">
      <c r="A34" s="22" t="inlineStr">
        <is>
          <t xml:space="preserve">corrected annual code</t>
        </is>
      </c>
      <c r="B34" s="22" t="inlineStr">
        <is>
          <t xml:space="preserve">_analysis/annual_gamma_sensitivity_2026-10-16/run_gamma_sensitivity.R</t>
        </is>
      </c>
      <c r="C34" s="22" t="inlineStr">
        <is>
          <t xml:space="preserve">00420490c99bd529a11eebdbc1567e95162e5b675534054b64c80d4f44806efa</t>
        </is>
      </c>
      <c r="D34" s="22">
        <v>11711</v>
      </c>
      <c r="E34" s="22" t="inlineStr">
        <is>
          <t xml:space="preserve">Annotated corrected-input Gamma sensitivity code; existing models were not rerun during workbook reconciliation.</t>
        </is>
      </c>
    </row>
    <row r="35" ht="66" customHeight="1">
      <c r="A35" s="22" t="inlineStr">
        <is>
          <t xml:space="preserve">annual validation output</t>
        </is>
      </c>
      <c r="B35" s="22" t="inlineStr">
        <is>
          <t xml:space="preserve">_analysis/annual_gamma_validation_2026-10-16/outputs/Holm_six_depth_comparisons.csv</t>
        </is>
      </c>
      <c r="C35" s="22" t="inlineStr">
        <is>
          <t xml:space="preserve">49fcfd26f25788aae8c9bd1667b6d69ecb7100023c1df4a16ca3f016e67b1153</t>
        </is>
      </c>
      <c r="D35" s="22">
        <v>4197</v>
      </c>
      <c r="E35" s="22" t="inlineStr">
        <is>
          <t xml:space="preserve">Separate six-depth Holm sensitivity results. Table S1 remains unadjusted.</t>
        </is>
      </c>
    </row>
    <row r="36" ht="66" customHeight="1">
      <c r="A36" s="22" t="inlineStr">
        <is>
          <t xml:space="preserve">annual validation output</t>
        </is>
      </c>
      <c r="B36" s="22" t="inlineStr">
        <is>
          <t xml:space="preserve">_analysis/annual_gamma_validation_2026-10-16/outputs/residual_tests.csv</t>
        </is>
      </c>
      <c r="C36" s="22" t="inlineStr">
        <is>
          <t xml:space="preserve">a8a94d2f9caae1ae5f2c7661c7e60d550d8c522b6cdad398daecd3d66062b41d</t>
        </is>
      </c>
      <c r="D36" s="22">
        <v>1514</v>
      </c>
      <c r="E36" s="22" t="inlineStr">
        <is>
          <t xml:space="preserve">Completed corrected-model residual tests; non-rejection does not establish model adequacy.</t>
        </is>
      </c>
    </row>
    <row r="37" ht="66" customHeight="1">
      <c r="A37" s="22" t="inlineStr">
        <is>
          <t xml:space="preserve">annual validation output</t>
        </is>
      </c>
      <c r="B37" s="22" t="inlineStr">
        <is>
          <t xml:space="preserve">_analysis/annual_gamma_validation_2026-10-16/outputs/below_floor_prediction_check.csv</t>
        </is>
      </c>
      <c r="C37" s="22" t="inlineStr">
        <is>
          <t xml:space="preserve">304d257aa58d853291585fe2b425238440c796081dabee049a419fb65905809b</t>
        </is>
      </c>
      <c r="D37" s="22">
        <v>571</v>
      </c>
      <c r="E37" s="22" t="inlineStr">
        <is>
          <t xml:space="preserve">Predictive support mismatch: simulated shifted responses can fall below known constant/volume floors.</t>
        </is>
      </c>
    </row>
    <row r="38" ht="66" customHeight="1">
      <c r="A38" s="22" t="inlineStr">
        <is>
          <t xml:space="preserve">annual validation output</t>
        </is>
      </c>
      <c r="B38" s="22" t="inlineStr">
        <is>
          <t xml:space="preserve">_analysis/annual_gamma_validation_2026-10-16/outputs/leave_one_core_out_contrasts.csv</t>
        </is>
      </c>
      <c r="C38" s="22" t="inlineStr">
        <is>
          <t xml:space="preserve">588bd3e5087b581ee0d89fa5759ba01c185c3fa1973349bc169b0aafad52ffdf</t>
        </is>
      </c>
      <c r="D38" s="22">
        <v>27567</v>
      </c>
      <c r="E38" s="22" t="inlineStr">
        <is>
          <t xml:space="preserve">Whole-core deletion sensitivity; overall field direction persists while depth precision varies.</t>
        </is>
      </c>
    </row>
    <row r="39" ht="66" customHeight="1">
      <c r="A39" s="22" t="inlineStr">
        <is>
          <t xml:space="preserve">annual validation code</t>
        </is>
      </c>
      <c r="B39" s="22" t="inlineStr">
        <is>
          <t xml:space="preserve">_analysis/annual_gamma_validation_2026-10-16/run_gamma_checks.R</t>
        </is>
      </c>
      <c r="C39" s="22" t="inlineStr">
        <is>
          <t xml:space="preserve">123d1d9192f8ede1d5544cc1457e49a39a4ef5fe015f1f24cac96d56589fc933</t>
        </is>
      </c>
      <c r="D39" s="22">
        <v>12741</v>
      </c>
      <c r="E39" s="22" t="inlineStr">
        <is>
          <t xml:space="preserve">Annotated corrected-model residual, support, whole-core deletion and Holm checks.</t>
        </is>
      </c>
    </row>
    <row r="40" ht="66" customHeight="1">
      <c r="A40" s="22" t="inlineStr">
        <is>
          <t xml:space="preserve">perennial density contrasts</t>
        </is>
      </c>
      <c r="B40" s="22" t="inlineStr">
        <is>
          <t xml:space="preserve">_audit/eartharxiv_package_2026-10-16/perennial_figures/existing_perennial_pairwise_contrasts.csv</t>
        </is>
      </c>
      <c r="C40" s="22" t="inlineStr">
        <is>
          <t xml:space="preserve">e906ef9468227c9c1546bd122a763b680a07b375922e9c4927d39b9299597f12</t>
        </is>
      </c>
      <c r="D40" s="22">
        <v>3427</v>
      </c>
      <c r="E40" s="22" t="inlineStr">
        <is>
          <t xml:space="preserve">Existing full Gamma shifted-density pairwise ratios, CIs and unadjusted p-values for 0-75 cm. No new inference calculated.</t>
        </is>
      </c>
    </row>
    <row r="41" ht="66" customHeight="1">
      <c r="A41" s="22" t="inlineStr">
        <is>
          <t xml:space="preserve">measured perennial profiles</t>
        </is>
      </c>
      <c r="B41" s="22" t="inlineStr">
        <is>
          <t xml:space="preserve">_audit/eartharxiv_package_2026-10-16/perennial_figures/observed_perennial_root_profiles_60.csv</t>
        </is>
      </c>
      <c r="C41" s="22" t="inlineStr">
        <is>
          <t xml:space="preserve">a2ad84776d8ac63a62142262e8a8742295071d28e1a2993f691529edd47df402</t>
        </is>
      </c>
      <c r="D41" s="22">
        <v>10080</v>
      </c>
      <c r="E41" s="22" t="inlineStr">
        <is>
          <t xml:space="preserve">Exact 60-record measured source for Figures 3a/4a and Observed root profiles. No addition or fitted uncertainty.</t>
        </is>
      </c>
    </row>
    <row r="42" ht="66" customHeight="1">
      <c r="A42" s="22" t="inlineStr">
        <is>
          <t xml:space="preserve">measured profile QA</t>
        </is>
      </c>
      <c r="B42" s="22" t="inlineStr">
        <is>
          <t xml:space="preserve">_audit/eartharxiv_package_2026-10-16/perennial_figures/observed_profiles_source_QA.json</t>
        </is>
      </c>
      <c r="C42" s="22" t="inlineStr">
        <is>
          <t xml:space="preserve">307606dbd50870548b2b68ae82739db2b165bce85c5b0f0fee497adec182cde9</t>
        </is>
      </c>
      <c r="D42" s="22">
        <v>1671</v>
      </c>
      <c r="E42" s="22" t="inlineStr">
        <is>
          <t xml:space="preserve">Source agreement for IDs, masses, sampled volumes, depth boundaries, management and actual cores; density arithmetic verified.</t>
        </is>
      </c>
    </row>
    <row r="43" ht="66" customHeight="1">
      <c r="A43" s="22" t="inlineStr">
        <is>
          <t xml:space="preserve">observed orchard stocks</t>
        </is>
      </c>
      <c r="B43" s="22" t="inlineStr">
        <is>
          <t xml:space="preserve">_audit/eartharxiv_package_2026-10-16/perennial_figures/observed_orchard_cumulative_stocks_24.csv</t>
        </is>
      </c>
      <c r="C43" s="22" t="inlineStr">
        <is>
          <t xml:space="preserve">288421616465cff267a9ab11a994758fd8513bc9dbb996f01643ffac771d8bdf</t>
        </is>
      </c>
      <c r="D43" s="22">
        <v>3979</v>
      </c>
      <c r="E43" s="22" t="str">
        <v>Exact 24-record measured cumulative-stock source for Observed stock profiles. Source totals unchanged.</v>
      </c>
    </row>
    <row r="44" ht="66" customHeight="1">
      <c r="A44" s="22" t="inlineStr">
        <is>
          <t xml:space="preserve">observed stock QA</t>
        </is>
      </c>
      <c r="B44" s="22" t="inlineStr">
        <is>
          <t xml:space="preserve">_audit/eartharxiv_package_2026-10-16/perennial_figures/observed_orchard_stocks_source_QA.json</t>
        </is>
      </c>
      <c r="C44" s="22" t="inlineStr">
        <is>
          <t xml:space="preserve">1ba6f1e9e3f7d49c07106940afea8d37fe1e3414276a64f683b44f549ea23486</t>
        </is>
      </c>
      <c r="D44" s="22">
        <v>2031</v>
      </c>
      <c r="E44" s="22" t="inlineStr">
        <is>
          <t xml:space="preserve">Agreement with current source values and checked within-core cumulative sums; six 0-75 cm endpoints preserved.</t>
        </is>
      </c>
    </row>
    <row r="45" ht="66" customHeight="1">
      <c r="A45" s="22" t="str">
        <v>historical orchard Welch result</v>
      </c>
      <c r="B45" s="22" t="inlineStr">
        <is>
          <t xml:space="preserve">https://colab.research.google.com/drive/1NGSaG4q5T7V6aSCte9hQmCm352FXq5Ca</t>
        </is>
      </c>
      <c r="C45" s="22" t="inlineStr">
        <is>
          <t xml:space="preserve"/>
        </is>
      </c>
      <c r="D45" s="22" t="inlineStr">
        <is>
          <t xml:space="preserve"/>
        </is>
      </c>
      <c r="E45" s="22" t="str">
        <v>Earlier orchard endpoint comparison. The current reproducible endpoint comparisons are recorded in Endpoint Welch and analysis/stock_endpoints_2026-10-20/saved_results/.</v>
      </c>
    </row>
    <row r="46" ht="66" customHeight="1">
      <c r="A46" s="22" t="inlineStr">
        <is>
          <t>current analysis data</t>
        </is>
      </c>
      <c r="B46" s="22" t="inlineStr">
        <is>
          <t>data/processed/sample_level_analysis_96_current.csv</t>
        </is>
      </c>
      <c r="C46" s="22" t="inlineStr">
        <is>
          <t>43607dfb0f1a5bec2cf71df4effa45e9216acd07d234337ffe069efcfc00394f</t>
        </is>
      </c>
      <c r="D46" s="22">
        <v>30010</v>
      </c>
      <c r="E46" s="22" t="inlineStr">
        <is>
          <t>Current 96-row model input: 36 annual, 24 orchard and 36 hedgerow increments. Annual analyses cover 0-100 cm; perennial analyses cover 0-75 cm. All 111 measured records remain in Sample data.</t>
        </is>
      </c>
    </row>
    <row r="47" ht="66" customHeight="1">
      <c r="A47" s="22" t="inlineStr">
        <is>
          <t>current hedgerow model output</t>
        </is>
      </c>
      <c r="B47" s="22" t="inlineStr">
        <is>
          <t>analysis/hedgerow_0_75/nonroot_results/nonroot_omnibus.csv</t>
        </is>
      </c>
      <c r="C47" s="22" t="inlineStr">
        <is>
          <t>ad24d6f39fc62024826c5a8ca18d2ce743dd3e816a2228a02155b02b839ca6ca</t>
        </is>
      </c>
      <c r="D47" s="22">
        <v>1039</v>
      </c>
      <c r="E47" s="22" t="str">
        <v>October 19 hedgerow C-concentration and radiocarbon tests remain selected. Cumulative-stock profile tests are superseded by endpoint Welch comparisons.</v>
      </c>
    </row>
    <row r="48" ht="66" customHeight="1">
      <c r="A48" s="22" t="inlineStr">
        <is>
          <t>current hedgerow model output</t>
        </is>
      </c>
      <c r="B48" s="22" t="inlineStr">
        <is>
          <t>analysis/hedgerow_0_75/nonroot_results/nonroot_pairwise_contrasts.csv</t>
        </is>
      </c>
      <c r="C48" s="22" t="inlineStr">
        <is>
          <t>006aeff8c0786400987356ba6a143f81a6495a431670c5c36888a10e04ce3d5c</t>
        </is>
      </c>
      <c r="D48" s="22">
        <v>6550</v>
      </c>
      <c r="E48" s="22" t="str">
        <v>C-concentration and radiocarbon within-depth contrasts remain in Table S1. Historical stock-profile contrasts are excluded from current inference.</v>
      </c>
    </row>
    <row r="49" ht="66" customHeight="1">
      <c r="A49" s="22" t="inlineStr">
        <is>
          <t>current hedgerow model output</t>
        </is>
      </c>
      <c r="B49" s="22" t="inlineStr">
        <is>
          <t>analysis/hedgerow_0_75/nonroot_results/nonroot_plot_marker_tests.csv</t>
        </is>
      </c>
      <c r="C49" s="22" t="inlineStr">
        <is>
          <t>53b1cbf6cceaddcadad0611b59cecea92ebfa17edaef8e046862b0faa62518fd</t>
        </is>
      </c>
      <c r="D49" s="22">
        <v>1864</v>
      </c>
      <c r="E49" s="22" t="str">
        <v>C-concentration and radiocarbon joint tests remain selected. Stock-profile marker tests are historical.</v>
      </c>
    </row>
    <row r="50" ht="66" customHeight="1">
      <c r="A50" s="22" t="inlineStr">
        <is>
          <t>current hedgerow model output</t>
        </is>
      </c>
      <c r="B50" s="22" t="inlineStr">
        <is>
          <t>analysis/hedgerow_0_75/nonroot_results/nonroot_plot_values.csv</t>
        </is>
      </c>
      <c r="C50" s="22" t="inlineStr">
        <is>
          <t>b8911193392351b9384192c2bd3c68175a339cd238303e5b1a38709c97c668bb</t>
        </is>
      </c>
      <c r="D50" s="22">
        <v>5612</v>
      </c>
      <c r="E50" s="22" t="str">
        <v>C-concentration and radiocarbon fitted means remain in Figure values. Stock fitted means are historical; current stock plots use observed core means and sample SE.</v>
      </c>
    </row>
    <row r="51" ht="66" customHeight="1">
      <c r="A51" s="22" t="inlineStr">
        <is>
          <t>current hedgerow model diagnostics</t>
        </is>
      </c>
      <c r="B51" s="22" t="inlineStr">
        <is>
          <t>analysis/hedgerow_0_75/nonroot_results/nonroot_model_diagnostics.csv</t>
        </is>
      </c>
      <c r="C51" s="22" t="inlineStr">
        <is>
          <t>be45c8ed0adff8d4ddf6a069ff0017fb2708caa88bd561038e02c745b85bed0d</t>
        </is>
      </c>
      <c r="D51" s="22">
        <v>595</v>
      </c>
      <c r="E51" s="22" t="str">
        <v>Diagnostics for the October 19 hedgerow non-root models. The cumulative-stock profile model is historical.</v>
      </c>
    </row>
    <row r="52" ht="66" customHeight="1">
      <c r="A52" s="22" t="inlineStr">
        <is>
          <t>current supporting model output</t>
        </is>
      </c>
      <c r="B52" s="22" t="inlineStr">
        <is>
          <t>analysis/hedgerow_0_75/bulk_density_results/bulk_density_omnibus.csv</t>
        </is>
      </c>
      <c r="C52" s="22" t="inlineStr">
        <is>
          <t>5ea01ad28b63ced6c8383c9e7d87c5c81fcd67354941c16c355e19cfc7e17b69</t>
        </is>
      </c>
      <c r="D52" s="22">
        <v>236</v>
      </c>
      <c r="E52" s="22" t="inlineStr">
        <is>
          <t>October 19 Type III Wald tests for supporting hedgerow bulk density at the common 0-75 cm scope, used in Table S2.</t>
        </is>
      </c>
    </row>
    <row r="53" ht="66" customHeight="1">
      <c r="A53" s="22" t="inlineStr">
        <is>
          <t>current supporting model output</t>
        </is>
      </c>
      <c r="B53" s="22" t="inlineStr">
        <is>
          <t>analysis/hedgerow_0_75/bulk_density_results/bulk_density_contrasts.csv</t>
        </is>
      </c>
      <c r="C53" s="22" t="inlineStr">
        <is>
          <t>e755a43e29dc5bf51b6d6b27564b81a45a93d08881528c289988242e068c3db8</t>
        </is>
      </c>
      <c r="D53" s="22">
        <v>2124</v>
      </c>
      <c r="E53" s="22" t="inlineStr">
        <is>
          <t>October 19 within-depth bulk-density contrasts supporting the common-depth stock comparison.</t>
        </is>
      </c>
    </row>
    <row r="54" ht="66" customHeight="1">
      <c r="A54" s="22" t="inlineStr">
        <is>
          <t>current supporting analysis code</t>
        </is>
      </c>
      <c r="B54" s="22" t="inlineStr">
        <is>
          <t>analysis/hedgerow_0_75/run_bulk_density_hedgerow75.R</t>
        </is>
      </c>
      <c r="C54" s="22" t="inlineStr">
        <is>
          <t>2d6536a772707d0b1f9ddca470b9cb4040bce816bebc5f7f576174b30185b864</t>
        </is>
      </c>
      <c r="D54" s="22">
        <v>5813</v>
      </c>
      <c r="E54" s="22" t="inlineStr">
        <is>
          <t>Scientific bulk-density analysis using the existing Gaussian mixed-model specification with the approved common 0-75 cm hedgerow scope.</t>
        </is>
      </c>
    </row>
    <row r="55" ht="31.5" customHeight="1">
      <c r="A55" s="22" t="str">
        <v>historical orchard stock analysis code</v>
      </c>
      <c r="B55" s="22" t="str">
        <v>analysis/nonroot_current/historical_cumulative_profile_2026-10-20/run_nonroot_analysis_before_endpoints.R</v>
      </c>
      <c r="C55" s="22" t="str">
        <v>e7dbe24bef3215df0679cbb12188a087c7c67e50def919efa1c8f4837b93e406</v>
      </c>
      <c r="D55" s="22" t="n">
        <v>14523</v>
      </c>
      <c r="E55" s="22" t="str">
        <v>Earlier cumulative-stock profile-model entrypoint retained unchanged for scientific history; current stock comparisons use endpoint Welch tests.</v>
      </c>
    </row>
    <row r="56" ht="31.5" customHeight="1">
      <c r="A56" s="22" t="str">
        <v>historical orchard stock contrasts</v>
      </c>
      <c r="B56" s="22" t="str">
        <v>analysis/nonroot_current/orchard_stock_0_75_2026-10-20/orchard_stock_pairwise_full.csv</v>
      </c>
      <c r="C56" s="22" t="str">
        <v>bc910b2fd8e51f07d371f93beccabdaddc4b766cc223dcde05f537a22cd8c98d</v>
      </c>
      <c r="D56" s="22" t="n">
        <v>761</v>
      </c>
      <c r="E56" s="22" t="str">
        <v>Four historical profile-model ratios. Excluded from current Table S1; preserved in the scientific archive.</v>
      </c>
    </row>
    <row r="57" ht="31.5" customHeight="1">
      <c r="A57" s="22" t="str">
        <v>historical orchard fitted stocks</v>
      </c>
      <c r="B57" s="22" t="str">
        <v>analysis/nonroot_current/orchard_stock_0_75_2026-10-20/orchard_stock_EMM_full.csv</v>
      </c>
      <c r="C57" s="22" t="str">
        <v>f3fe5b1aa63bf0a4be71b84862980a823ee4fb97b2aeb1f543a5b27d115c6d47</v>
      </c>
      <c r="D57" s="22" t="n">
        <v>888</v>
      </c>
      <c r="E57" s="22" t="str">
        <v>Eight historical fitted means and model SEs. Current Figure 3c uses observed core means and sample SE.</v>
      </c>
    </row>
    <row r="58" ht="31.5" customHeight="1">
      <c r="A58" s="22" t="str">
        <v>historical orchard stock tests</v>
      </c>
      <c r="B58" s="22" t="str">
        <v>analysis/nonroot_current/orchard_stock_0_75_2026-10-20/nonroot_omnibus.csv</v>
      </c>
      <c r="C58" s="22" t="str">
        <v>4fdba2c473ac5aa5ebb7b0c06a874d2a9ec829ed3f0ad67c01ec257b34e5a7cc</v>
      </c>
      <c r="D58" s="22" t="n">
        <v>417</v>
      </c>
      <c r="E58" s="22" t="str">
        <v>Three historical cumulative-stock profile Wald tests. Current Table 1 reports endpoint Welch comparisons.</v>
      </c>
    </row>
    <row r="59" ht="31.5" customHeight="1">
      <c r="A59" s="22" t="str">
        <v>historical orchard diagnostics</v>
      </c>
      <c r="B59" s="22" t="str">
        <v>analysis/nonroot_current/orchard_stock_0_75_2026-10-20/nonroot_model_diagnostics.csv</v>
      </c>
      <c r="C59" s="22" t="str">
        <v>77f415ce69bd37d377b7c6d9b2c21cdab0d5bb6f90bad328ff86830e47af4e48</v>
      </c>
      <c r="D59" s="22" t="n">
        <v>361</v>
      </c>
      <c r="E59" s="22" t="str">
        <v>Diagnostics of the historical orchard cumulative-stock profile model.</v>
      </c>
    </row>
    <row r="60" ht="31.5" customHeight="1">
      <c r="A60" s="22" t="str">
        <v>historical orchard diagnostic settings</v>
      </c>
      <c r="B60" s="22" t="str">
        <v>analysis/nonroot_current/orchard_stock_0_75_2026-10-20/diagnostic_settings.csv</v>
      </c>
      <c r="C60" s="22" t="str">
        <v>5aec54b94b117f3828e37573c4718f232be63385e51aa04e2c7e1ce5b9f1ccb1</v>
      </c>
      <c r="D60" s="22" t="n">
        <v>210</v>
      </c>
      <c r="E60" s="22" t="str">
        <v>Settings of the historical orchard cumulative-stock profile checks.</v>
      </c>
    </row>
    <row r="61" ht="31.5" customHeight="1">
      <c r="A61" s="22" t="str">
        <v>historical orchard R session</v>
      </c>
      <c r="B61" s="22" t="str">
        <v>analysis/nonroot_current/orchard_stock_0_75_2026-10-20/R_session_info.txt</v>
      </c>
      <c r="C61" s="22" t="str">
        <v>442f7278d1d4e2eb109c2d5d70cd24b3e24314747ed08ae4a2840836235234d3</v>
      </c>
      <c r="D61" s="22" t="n">
        <v>1836</v>
      </c>
      <c r="E61" s="22" t="str">
        <v>R and package versions for the historical orchard cumulative-stock profile model.</v>
      </c>
    </row>
    <row r="62" ht="31.5" customHeight="1">
      <c r="A62" s="22" t="str">
        <v>historical orchard endpoint result</v>
      </c>
      <c r="B62" s="22" t="str">
        <v>analysis/nonroot_current/historical_endpoint_2026-10-16/orchard_endpoint_Welch_saved.csv</v>
      </c>
      <c r="C62" s="22" t="str">
        <v>fa41f6d4beac0ea6a802a6b0c9fdeee87e099c3c4c8a753a717cc2900da7f019</v>
      </c>
      <c r="D62" s="22" t="n">
        <v>249</v>
      </c>
      <c r="E62" s="22" t="str">
        <v>Earlier six-core orchard endpoint record retained for provenance. Current results are in Endpoint Welch.</v>
      </c>
    </row>
    <row r="63" ht="31.5" customHeight="1">
      <c r="A63" t="str" s="22">
        <v>stock endpoint analysis code</v>
      </c>
      <c r="B63" t="str" s="22">
        <v>analysis/stock_endpoints_2026-10-20/run_stock_endpoints.R</v>
      </c>
      <c r="C63" t="str" s="22">
        <v>87754701ad63749d0bbab53ed4c81fa72872239bdfe3324f69fb07022c4cdd31</v>
      </c>
      <c r="D63" t="n" s="22">
        <v>12509</v>
      </c>
      <c r="E63" t="str" s="22">
        <v>Selected two-sided unpaired Welch endpoint comparisons; all six hedgerow pairwise p-values are adjusted together by Holm.</v>
      </c>
    </row>
    <row r="64" ht="31.5" customHeight="1">
      <c r="A64" t="str" s="22">
        <v>stock endpoint observations</v>
      </c>
      <c r="B64" t="str" s="22">
        <v>analysis/stock_endpoints_2026-10-20/saved_results/endpoint_observations.csv</v>
      </c>
      <c r="C64" t="str" s="22">
        <v>a6d333ffc4f192a2e61eff2efe7e8c7c9df571ccad10a9f3e0e6486de3e1ae8c</v>
      </c>
      <c r="D64" t="n" s="22">
        <v>3493</v>
      </c>
      <c r="E64" t="str" s="22">
        <v>Thirty core-endpoint values selected from the unchanged 96-record input, with sample and core identifiers.</v>
      </c>
    </row>
    <row r="65" ht="31.5" customHeight="1">
      <c r="A65" t="str" s="22">
        <v>stock endpoint group summaries</v>
      </c>
      <c r="B65" t="str" s="22">
        <v>analysis/stock_endpoints_2026-10-20/saved_results/endpoint_group_summary.csv</v>
      </c>
      <c r="C65" t="str" s="22">
        <v>1a4178b37162676e2d5399c29b2e7ddda3522af4e831d6724e32f6b1ad4e36da</v>
      </c>
      <c r="D65" t="n" s="22">
        <v>3618</v>
      </c>
      <c r="E65" t="str" s="22">
        <v>Ten observed group means, sample SDs, SEs and source identifiers.</v>
      </c>
    </row>
    <row r="66" ht="31.5" customHeight="1">
      <c r="A66" t="str" s="22">
        <v>stock endpoint comparisons</v>
      </c>
      <c r="B66" t="str" s="22">
        <v>analysis/stock_endpoints_2026-10-20/saved_results/endpoint_welch_contrasts.csv</v>
      </c>
      <c r="C66" t="str" s="22">
        <v>0abcba9009c0b5456e2e1fce5fad985b2e55f28449afee1c88d34eb582b1af89</v>
      </c>
      <c r="D66" t="n" s="22">
        <v>4323</v>
      </c>
      <c r="E66" t="str" s="22">
        <v>Eight signed Welch comparisons, unadjusted 95% intervals, t, df, raw p-values and the reported adjusted p-values.</v>
      </c>
    </row>
    <row r="67" ht="31.5" customHeight="1">
      <c r="A67" t="str" s="22">
        <v>observed stock figure values</v>
      </c>
      <c r="B67" t="str" s="22">
        <v>analysis/stock_endpoints_2026-10-20/saved_results/stock_profile_summary.csv</v>
      </c>
      <c r="C67" t="str" s="22">
        <v>6caae65db4be14ea224ca34ac4d693dd4303c79f496ceb47a1ddbcaf7edfcb37</v>
      </c>
      <c r="D67" t="n" s="22">
        <v>10594</v>
      </c>
      <c r="E67" t="str" s="22">
        <v>Thirty-two observed cumulative-stock means and one sample SE for Figures 2c-4c.</v>
      </c>
    </row>
    <row r="68" ht="31.5" customHeight="1">
      <c r="A68" t="str" s="22">
        <v>stock figure markers</v>
      </c>
      <c r="B68" t="str" s="22">
        <v>analysis/stock_endpoints_2026-10-20/saved_results/endpoint_marker_tests.csv</v>
      </c>
      <c r="C68" t="str" s="22">
        <v>b550c50313b77c953bbd6253e88f6eec3a0bf5e9a5294fe1626e2ab061ab77a1</v>
      </c>
      <c r="D68" t="n" s="22">
        <v>1424</v>
      </c>
      <c r="E68" t="str" s="22">
        <v>Markers for the selected endpoint tests. Hedgerow markers use the common six-test Holm family.</v>
      </c>
    </row>
    <row r="69" ht="31.5" customHeight="1">
      <c r="A69" t="str" s="22">
        <v>stock endpoint method scope</v>
      </c>
      <c r="B69" t="str" s="22">
        <v>analysis/stock_endpoints_2026-10-20/saved_results/METHOD_SCOPE.txt</v>
      </c>
      <c r="C69" t="str" s="22">
        <v>efdb00e2a09acd95af908df5f9d6ad4e59e1181ec27ea74f448936413d137854</v>
      </c>
      <c r="D69" t="n" s="22">
        <v>713</v>
      </c>
      <c r="E69" t="str" s="22">
        <v>Selected endpoints, core-level inference, adjustment family and confidence-interval definition.</v>
      </c>
    </row>
    <row r="70" ht="31.5" customHeight="1">
      <c r="A70" t="str" s="22">
        <v>stock endpoint R session</v>
      </c>
      <c r="B70" t="str" s="22">
        <v>analysis/stock_endpoints_2026-10-20/saved_results/R_session_info.txt</v>
      </c>
      <c r="C70" t="str" s="22">
        <v>2775e1c2f7a4681428baca9bef1023e04e71eba5fc872462b9c3c4b780a60d42</v>
      </c>
      <c r="D70" t="n" s="22">
        <v>599</v>
      </c>
      <c r="E70" t="str" s="22">
        <v>Execution environment for the selected endpoint comparisons.</v>
      </c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location="scrollTo=CfZKbfIxJHnL" ref="B26"/>
    <hyperlink r:id="rId2" location="gid=232771915" ref="B27"/>
    <hyperlink r:id="rId3" location="scrollTo=2vUoI5rrPAOx" ref="B28"/>
    <hyperlink r:id="rId4" ref="B29"/>
  </hyperlinks>
  <printOptions/>
  <pageMargins bottom="0.75" footer="0.0" header="0.0" left="0.7" right="0.7" top="0.75"/>
  <pageSetup orientation="landscape"/>
  <drawing r:id="rId5"/>
  <tableParts count="1">
    <tablePart r:id="rId7"/>
  </tableParts>
</worksheet>
</file>

<file path=xl/worksheets/sheet8.xml><?xml version="1.0" encoding="utf-8"?>
<worksheet xmlns="http://schemas.openxmlformats.org/spreadsheetml/2006/main">
  <sheetFormatPr defaultRowHeight="15"/>
  <cols>
    <col min="1" max="1" width="16" hidden="0" customWidth="1"/>
    <col min="2" max="2" width="25" hidden="0" customWidth="1"/>
    <col min="3" max="3" width="22" hidden="0" customWidth="1"/>
    <col min="4" max="4" width="25" hidden="0" customWidth="1"/>
    <col min="5" max="5" width="14" hidden="0" customWidth="1"/>
    <col min="6" max="6" width="22" hidden="0" customWidth="1"/>
    <col min="7" max="7" width="22" hidden="0" customWidth="1"/>
    <col min="8" max="8" width="22" hidden="0" customWidth="1"/>
    <col min="9" max="9" width="22" hidden="0" customWidth="1"/>
    <col min="10" max="10" width="22" hidden="0" customWidth="1"/>
    <col min="11" max="11" width="22" hidden="0" customWidth="1"/>
    <col min="12" max="12" width="22" hidden="0" customWidth="1"/>
    <col min="13" max="13" width="46" hidden="0" customWidth="1"/>
    <col min="14" max="14" width="22" hidden="0" customWidth="1"/>
  </cols>
  <sheetData>
    <row r="1" ht="42" customHeight="1">
      <c r="A1" s="23" t="inlineStr">
        <is>
          <t xml:space="preserve">system</t>
        </is>
      </c>
      <c r="B1" s="23" t="inlineStr">
        <is>
          <t xml:space="preserve">management</t>
        </is>
      </c>
      <c r="C1" s="23" t="inlineStr">
        <is>
          <t xml:space="preserve">sample_id</t>
        </is>
      </c>
      <c r="D1" s="23" t="inlineStr">
        <is>
          <t xml:space="preserve">sample_code</t>
        </is>
      </c>
      <c r="E1" s="23" t="inlineStr">
        <is>
          <t xml:space="preserve">core</t>
        </is>
      </c>
      <c r="F1" s="23" t="inlineStr">
        <is>
          <t xml:space="preserve">depth_interval_cm</t>
        </is>
      </c>
      <c r="G1" s="23" t="inlineStr">
        <is>
          <t xml:space="preserve">depth_top_cm</t>
        </is>
      </c>
      <c r="H1" s="23" t="inlineStr">
        <is>
          <t xml:space="preserve">depth_bottom_cm</t>
        </is>
      </c>
      <c r="I1" s="23" t="inlineStr">
        <is>
          <t xml:space="preserve">volume_cm3</t>
        </is>
      </c>
      <c r="J1" s="23" t="inlineStr">
        <is>
          <t xml:space="preserve">working_root_mass_g</t>
        </is>
      </c>
      <c r="K1" s="23" t="inlineStr">
        <is>
          <t xml:space="preserve">observed_density_mg_cm3</t>
        </is>
      </c>
      <c r="L1" s="23" t="inlineStr">
        <is>
          <t xml:space="preserve">addition_g</t>
        </is>
      </c>
      <c r="M1" s="23" t="inlineStr">
        <is>
          <t xml:space="preserve">value_role</t>
        </is>
      </c>
      <c r="N1" s="23" t="inlineStr">
        <is>
          <t xml:space="preserve">profile_symbol_index</t>
        </is>
      </c>
    </row>
    <row r="2" ht="24" customHeight="1">
      <c r="A2" s="24" t="inlineStr">
        <is>
          <t xml:space="preserve">hedgerows</t>
        </is>
      </c>
      <c r="B2" s="24" t="inlineStr">
        <is>
          <t xml:space="preserve">10-year-old hedgerow</t>
        </is>
      </c>
      <c r="C2" s="26">
        <v>197.0</v>
      </c>
      <c r="D2" s="24" t="inlineStr">
        <is>
          <t xml:space="preserve">197_HRDY2_1_A1</t>
        </is>
      </c>
      <c r="E2" s="24" t="inlineStr">
        <is>
          <t xml:space="preserve">HRDY2.1</t>
        </is>
      </c>
      <c r="F2" s="24" t="inlineStr">
        <is>
          <t xml:space="preserve">0-10</t>
        </is>
      </c>
      <c r="G2" s="26">
        <v>0.0</v>
      </c>
      <c r="H2" s="26">
        <v>10.0</v>
      </c>
      <c r="I2" s="25">
        <v>114.009182796937</v>
      </c>
      <c r="J2" s="25">
        <v>0.1114</v>
      </c>
      <c r="K2" s="25">
        <v>0.9771142750704193</v>
      </c>
      <c r="L2" s="26">
        <v>0.0</v>
      </c>
      <c r="M2" s="24" t="inlineStr">
        <is>
          <t xml:space="preserve">observed core increment; not a fitted mean</t>
        </is>
      </c>
      <c r="N2" s="26">
        <v>1.0</v>
      </c>
    </row>
    <row r="3" ht="24" customHeight="1">
      <c r="A3" s="24" t="inlineStr">
        <is>
          <t xml:space="preserve">hedgerows</t>
        </is>
      </c>
      <c r="B3" s="24" t="inlineStr">
        <is>
          <t xml:space="preserve">10-year-old hedgerow</t>
        </is>
      </c>
      <c r="C3" s="26">
        <v>198.0</v>
      </c>
      <c r="D3" s="24" t="inlineStr">
        <is>
          <t xml:space="preserve">198_HRDY2_1_A2</t>
        </is>
      </c>
      <c r="E3" s="24" t="inlineStr">
        <is>
          <t xml:space="preserve">HRDY2.1</t>
        </is>
      </c>
      <c r="F3" s="24" t="inlineStr">
        <is>
          <t xml:space="preserve">10-20</t>
        </is>
      </c>
      <c r="G3" s="26">
        <v>10.0</v>
      </c>
      <c r="H3" s="26">
        <v>20.0</v>
      </c>
      <c r="I3" s="25">
        <v>114.009182796937</v>
      </c>
      <c r="J3" s="25">
        <v>0.001</v>
      </c>
      <c r="K3" s="25">
        <v>0.0087712232950666</v>
      </c>
      <c r="L3" s="26">
        <v>0.0</v>
      </c>
      <c r="M3" s="24" t="inlineStr">
        <is>
          <t xml:space="preserve">observed core increment; not a fitted mean</t>
        </is>
      </c>
      <c r="N3" s="26">
        <v>1.0</v>
      </c>
    </row>
    <row r="4" ht="24" customHeight="1">
      <c r="A4" s="24" t="inlineStr">
        <is>
          <t xml:space="preserve">hedgerows</t>
        </is>
      </c>
      <c r="B4" s="24" t="inlineStr">
        <is>
          <t xml:space="preserve">10-year-old hedgerow</t>
        </is>
      </c>
      <c r="C4" s="26">
        <v>199.0</v>
      </c>
      <c r="D4" s="24" t="inlineStr">
        <is>
          <t xml:space="preserve">199_HRDY2_1_A3</t>
        </is>
      </c>
      <c r="E4" s="24" t="inlineStr">
        <is>
          <t xml:space="preserve">HRDY2.1</t>
        </is>
      </c>
      <c r="F4" s="24" t="inlineStr">
        <is>
          <t xml:space="preserve">20-50</t>
        </is>
      </c>
      <c r="G4" s="26">
        <v>20.0</v>
      </c>
      <c r="H4" s="26">
        <v>50.0</v>
      </c>
      <c r="I4" s="25">
        <v>342.027548390811</v>
      </c>
      <c r="J4" s="25">
        <v>0.0773</v>
      </c>
      <c r="K4" s="25">
        <v>0.2260051869028827</v>
      </c>
      <c r="L4" s="26">
        <v>0.0</v>
      </c>
      <c r="M4" s="24" t="inlineStr">
        <is>
          <t xml:space="preserve">observed core increment; not a fitted mean</t>
        </is>
      </c>
      <c r="N4" s="26">
        <v>1.0</v>
      </c>
    </row>
    <row r="5" ht="24" customHeight="1">
      <c r="A5" s="24" t="inlineStr">
        <is>
          <t xml:space="preserve">hedgerows</t>
        </is>
      </c>
      <c r="B5" s="24" t="inlineStr">
        <is>
          <t xml:space="preserve">10-year-old hedgerow</t>
        </is>
      </c>
      <c r="C5" s="26">
        <v>200.0</v>
      </c>
      <c r="D5" s="24" t="inlineStr">
        <is>
          <t xml:space="preserve">200_HRDY2_1_A4</t>
        </is>
      </c>
      <c r="E5" s="24" t="inlineStr">
        <is>
          <t xml:space="preserve">HRDY2.1</t>
        </is>
      </c>
      <c r="F5" s="24" t="inlineStr">
        <is>
          <t xml:space="preserve">50-75</t>
        </is>
      </c>
      <c r="G5" s="26">
        <v>50.0</v>
      </c>
      <c r="H5" s="26">
        <v>75.0</v>
      </c>
      <c r="I5" s="25">
        <v>285.0229569923425</v>
      </c>
      <c r="J5" s="25">
        <v>0.0</v>
      </c>
      <c r="K5" s="25">
        <v>0.0</v>
      </c>
      <c r="L5" s="26">
        <v>0.0</v>
      </c>
      <c r="M5" s="24" t="inlineStr">
        <is>
          <t xml:space="preserve">observed core increment; not a fitted mean</t>
        </is>
      </c>
      <c r="N5" s="26">
        <v>1.0</v>
      </c>
    </row>
    <row r="6" ht="24" customHeight="1">
      <c r="A6" s="24" t="inlineStr">
        <is>
          <t xml:space="preserve">hedgerows</t>
        </is>
      </c>
      <c r="B6" s="24" t="inlineStr">
        <is>
          <t xml:space="preserve">10-year-old hedgerow</t>
        </is>
      </c>
      <c r="C6" s="26">
        <v>202.0</v>
      </c>
      <c r="D6" s="24" t="inlineStr">
        <is>
          <t xml:space="preserve">202_HRDY2_2_A1</t>
        </is>
      </c>
      <c r="E6" s="24" t="inlineStr">
        <is>
          <t xml:space="preserve">HRDY2.2</t>
        </is>
      </c>
      <c r="F6" s="24" t="inlineStr">
        <is>
          <t xml:space="preserve">0-10</t>
        </is>
      </c>
      <c r="G6" s="26">
        <v>0.0</v>
      </c>
      <c r="H6" s="26">
        <v>10.0</v>
      </c>
      <c r="I6" s="25">
        <v>114.009182796937</v>
      </c>
      <c r="J6" s="25">
        <v>0.0093</v>
      </c>
      <c r="K6" s="25">
        <v>0.08157237664411937</v>
      </c>
      <c r="L6" s="26">
        <v>0.0</v>
      </c>
      <c r="M6" s="24" t="inlineStr">
        <is>
          <t xml:space="preserve">observed core increment; not a fitted mean</t>
        </is>
      </c>
      <c r="N6" s="26">
        <v>2.0</v>
      </c>
    </row>
    <row r="7" ht="24" customHeight="1">
      <c r="A7" s="24" t="inlineStr">
        <is>
          <t xml:space="preserve">hedgerows</t>
        </is>
      </c>
      <c r="B7" s="24" t="inlineStr">
        <is>
          <t xml:space="preserve">10-year-old hedgerow</t>
        </is>
      </c>
      <c r="C7" s="26">
        <v>203.0</v>
      </c>
      <c r="D7" s="24" t="inlineStr">
        <is>
          <t xml:space="preserve">203_HRDY2_2_A2</t>
        </is>
      </c>
      <c r="E7" s="24" t="inlineStr">
        <is>
          <t xml:space="preserve">HRDY2.2</t>
        </is>
      </c>
      <c r="F7" s="24" t="inlineStr">
        <is>
          <t xml:space="preserve">10-20</t>
        </is>
      </c>
      <c r="G7" s="26">
        <v>10.0</v>
      </c>
      <c r="H7" s="26">
        <v>20.0</v>
      </c>
      <c r="I7" s="25">
        <v>114.009182796937</v>
      </c>
      <c r="J7" s="25">
        <v>0.0031</v>
      </c>
      <c r="K7" s="25">
        <v>0.02719079221470646</v>
      </c>
      <c r="L7" s="26">
        <v>0.0</v>
      </c>
      <c r="M7" s="24" t="inlineStr">
        <is>
          <t xml:space="preserve">observed core increment; not a fitted mean</t>
        </is>
      </c>
      <c r="N7" s="26">
        <v>2.0</v>
      </c>
    </row>
    <row r="8" ht="24" customHeight="1">
      <c r="A8" s="24" t="inlineStr">
        <is>
          <t xml:space="preserve">hedgerows</t>
        </is>
      </c>
      <c r="B8" s="24" t="inlineStr">
        <is>
          <t xml:space="preserve">10-year-old hedgerow</t>
        </is>
      </c>
      <c r="C8" s="26">
        <v>204.0</v>
      </c>
      <c r="D8" s="24" t="inlineStr">
        <is>
          <t xml:space="preserve">204_HRDY2_2_A3</t>
        </is>
      </c>
      <c r="E8" s="24" t="inlineStr">
        <is>
          <t xml:space="preserve">HRDY2.2</t>
        </is>
      </c>
      <c r="F8" s="24" t="inlineStr">
        <is>
          <t xml:space="preserve">20-50</t>
        </is>
      </c>
      <c r="G8" s="26">
        <v>20.0</v>
      </c>
      <c r="H8" s="26">
        <v>50.0</v>
      </c>
      <c r="I8" s="25">
        <v>342.027548390811</v>
      </c>
      <c r="J8" s="25">
        <v>0.0356</v>
      </c>
      <c r="K8" s="25">
        <v>0.104085183101457</v>
      </c>
      <c r="L8" s="26">
        <v>0.0</v>
      </c>
      <c r="M8" s="24" t="inlineStr">
        <is>
          <t xml:space="preserve">observed core increment; not a fitted mean</t>
        </is>
      </c>
      <c r="N8" s="26">
        <v>2.0</v>
      </c>
    </row>
    <row r="9" ht="24" customHeight="1">
      <c r="A9" s="24" t="inlineStr">
        <is>
          <t xml:space="preserve">hedgerows</t>
        </is>
      </c>
      <c r="B9" s="24" t="inlineStr">
        <is>
          <t xml:space="preserve">10-year-old hedgerow</t>
        </is>
      </c>
      <c r="C9" s="26">
        <v>205.0</v>
      </c>
      <c r="D9" s="24" t="inlineStr">
        <is>
          <t xml:space="preserve">205_HRDY2_2_A4</t>
        </is>
      </c>
      <c r="E9" s="24" t="inlineStr">
        <is>
          <t xml:space="preserve">HRDY2.2</t>
        </is>
      </c>
      <c r="F9" s="24" t="inlineStr">
        <is>
          <t xml:space="preserve">50-75</t>
        </is>
      </c>
      <c r="G9" s="26">
        <v>50.0</v>
      </c>
      <c r="H9" s="26">
        <v>75.0</v>
      </c>
      <c r="I9" s="25">
        <v>285.0229569923425</v>
      </c>
      <c r="J9" s="25">
        <v>0.0625</v>
      </c>
      <c r="K9" s="25">
        <v>0.219280582376665</v>
      </c>
      <c r="L9" s="26">
        <v>0.0</v>
      </c>
      <c r="M9" s="24" t="inlineStr">
        <is>
          <t xml:space="preserve">observed core increment; not a fitted mean</t>
        </is>
      </c>
      <c r="N9" s="26">
        <v>2.0</v>
      </c>
    </row>
    <row r="10" ht="24" customHeight="1">
      <c r="A10" s="24" t="inlineStr">
        <is>
          <t xml:space="preserve">hedgerows</t>
        </is>
      </c>
      <c r="B10" s="24" t="inlineStr">
        <is>
          <t xml:space="preserve">10-year-old hedgerow</t>
        </is>
      </c>
      <c r="C10" s="26">
        <v>207.0</v>
      </c>
      <c r="D10" s="24" t="inlineStr">
        <is>
          <t xml:space="preserve">207_HRDY2_3_A1</t>
        </is>
      </c>
      <c r="E10" s="24" t="inlineStr">
        <is>
          <t xml:space="preserve">HRDY2.3</t>
        </is>
      </c>
      <c r="F10" s="24" t="inlineStr">
        <is>
          <t xml:space="preserve">0-10</t>
        </is>
      </c>
      <c r="G10" s="26">
        <v>0.0</v>
      </c>
      <c r="H10" s="26">
        <v>10.0</v>
      </c>
      <c r="I10" s="25">
        <v>114.009182796937</v>
      </c>
      <c r="J10" s="25">
        <v>0.0024</v>
      </c>
      <c r="K10" s="25">
        <v>0.02105093590815984</v>
      </c>
      <c r="L10" s="26">
        <v>0.0</v>
      </c>
      <c r="M10" s="24" t="inlineStr">
        <is>
          <t xml:space="preserve">observed core increment; not a fitted mean</t>
        </is>
      </c>
      <c r="N10" s="26">
        <v>3.0</v>
      </c>
    </row>
    <row r="11" ht="24" customHeight="1">
      <c r="A11" s="24" t="inlineStr">
        <is>
          <t xml:space="preserve">hedgerows</t>
        </is>
      </c>
      <c r="B11" s="24" t="inlineStr">
        <is>
          <t xml:space="preserve">10-year-old hedgerow</t>
        </is>
      </c>
      <c r="C11" s="26">
        <v>208.0</v>
      </c>
      <c r="D11" s="24" t="inlineStr">
        <is>
          <t xml:space="preserve">208_HRDY2_3_A2</t>
        </is>
      </c>
      <c r="E11" s="24" t="inlineStr">
        <is>
          <t xml:space="preserve">HRDY2.3</t>
        </is>
      </c>
      <c r="F11" s="24" t="inlineStr">
        <is>
          <t xml:space="preserve">10-20</t>
        </is>
      </c>
      <c r="G11" s="26">
        <v>10.0</v>
      </c>
      <c r="H11" s="26">
        <v>20.0</v>
      </c>
      <c r="I11" s="25">
        <v>114.009182796937</v>
      </c>
      <c r="J11" s="25">
        <v>0.9132</v>
      </c>
      <c r="K11" s="25">
        <v>8.009881113054819</v>
      </c>
      <c r="L11" s="26">
        <v>0.0</v>
      </c>
      <c r="M11" s="24" t="inlineStr">
        <is>
          <t xml:space="preserve">observed core increment; not a fitted mean</t>
        </is>
      </c>
      <c r="N11" s="26">
        <v>3.0</v>
      </c>
    </row>
    <row r="12" ht="24" customHeight="1">
      <c r="A12" s="24" t="inlineStr">
        <is>
          <t xml:space="preserve">hedgerows</t>
        </is>
      </c>
      <c r="B12" s="24" t="inlineStr">
        <is>
          <t xml:space="preserve">10-year-old hedgerow</t>
        </is>
      </c>
      <c r="C12" s="26">
        <v>209.0</v>
      </c>
      <c r="D12" s="24" t="inlineStr">
        <is>
          <t xml:space="preserve">209_HRDY2_3_A3</t>
        </is>
      </c>
      <c r="E12" s="24" t="inlineStr">
        <is>
          <t xml:space="preserve">HRDY2.3</t>
        </is>
      </c>
      <c r="F12" s="24" t="inlineStr">
        <is>
          <t xml:space="preserve">20-50</t>
        </is>
      </c>
      <c r="G12" s="26">
        <v>20.0</v>
      </c>
      <c r="H12" s="26">
        <v>50.0</v>
      </c>
      <c r="I12" s="25">
        <v>342.027548390811</v>
      </c>
      <c r="J12" s="25">
        <v>0.0237</v>
      </c>
      <c r="K12" s="25">
        <v>0.06929266403102613</v>
      </c>
      <c r="L12" s="26">
        <v>0.0</v>
      </c>
      <c r="M12" s="24" t="inlineStr">
        <is>
          <t xml:space="preserve">observed core increment; not a fitted mean</t>
        </is>
      </c>
      <c r="N12" s="26">
        <v>3.0</v>
      </c>
    </row>
    <row r="13" ht="24" customHeight="1">
      <c r="A13" s="24" t="inlineStr">
        <is>
          <t xml:space="preserve">hedgerows</t>
        </is>
      </c>
      <c r="B13" s="24" t="inlineStr">
        <is>
          <t xml:space="preserve">10-year-old hedgerow</t>
        </is>
      </c>
      <c r="C13" s="26">
        <v>210.0</v>
      </c>
      <c r="D13" s="24" t="inlineStr">
        <is>
          <t xml:space="preserve">210_HRDY2_3_A4</t>
        </is>
      </c>
      <c r="E13" s="24" t="inlineStr">
        <is>
          <t xml:space="preserve">HRDY2.3</t>
        </is>
      </c>
      <c r="F13" s="24" t="inlineStr">
        <is>
          <t xml:space="preserve">50-75</t>
        </is>
      </c>
      <c r="G13" s="26">
        <v>50.0</v>
      </c>
      <c r="H13" s="26">
        <v>75.0</v>
      </c>
      <c r="I13" s="25">
        <v>285.0229569923425</v>
      </c>
      <c r="J13" s="25">
        <v>0.0013</v>
      </c>
      <c r="K13" s="25">
        <v>0.004561036113434632</v>
      </c>
      <c r="L13" s="26">
        <v>0.0</v>
      </c>
      <c r="M13" s="24" t="inlineStr">
        <is>
          <t xml:space="preserve">observed core increment; not a fitted mean</t>
        </is>
      </c>
      <c r="N13" s="26">
        <v>3.0</v>
      </c>
    </row>
    <row r="14" ht="24" customHeight="1">
      <c r="A14" s="24" t="inlineStr">
        <is>
          <t xml:space="preserve">hedgerows</t>
        </is>
      </c>
      <c r="B14" s="24" t="inlineStr">
        <is>
          <t xml:space="preserve">30-year-old hedgerow</t>
        </is>
      </c>
      <c r="C14" s="26">
        <v>182.0</v>
      </c>
      <c r="D14" s="24" t="inlineStr">
        <is>
          <t xml:space="preserve">182_HRDY1_1_A1</t>
        </is>
      </c>
      <c r="E14" s="24" t="inlineStr">
        <is>
          <t xml:space="preserve">HRDY1.1</t>
        </is>
      </c>
      <c r="F14" s="24" t="inlineStr">
        <is>
          <t xml:space="preserve">0-10</t>
        </is>
      </c>
      <c r="G14" s="26">
        <v>0.0</v>
      </c>
      <c r="H14" s="26">
        <v>10.0</v>
      </c>
      <c r="I14" s="25">
        <v>114.009182796937</v>
      </c>
      <c r="J14" s="25">
        <v>0.0297</v>
      </c>
      <c r="K14" s="25">
        <v>0.260505331863478</v>
      </c>
      <c r="L14" s="26">
        <v>0.0</v>
      </c>
      <c r="M14" s="24" t="inlineStr">
        <is>
          <t xml:space="preserve">observed core increment; not a fitted mean</t>
        </is>
      </c>
      <c r="N14" s="26">
        <v>1.0</v>
      </c>
    </row>
    <row r="15" ht="24" customHeight="1">
      <c r="A15" s="24" t="inlineStr">
        <is>
          <t xml:space="preserve">hedgerows</t>
        </is>
      </c>
      <c r="B15" s="24" t="inlineStr">
        <is>
          <t xml:space="preserve">30-year-old hedgerow</t>
        </is>
      </c>
      <c r="C15" s="26">
        <v>183.0</v>
      </c>
      <c r="D15" s="24" t="inlineStr">
        <is>
          <t xml:space="preserve">183_HRDY1_1_A2</t>
        </is>
      </c>
      <c r="E15" s="24" t="inlineStr">
        <is>
          <t xml:space="preserve">HRDY1.1</t>
        </is>
      </c>
      <c r="F15" s="24" t="inlineStr">
        <is>
          <t xml:space="preserve">10-20</t>
        </is>
      </c>
      <c r="G15" s="26">
        <v>10.0</v>
      </c>
      <c r="H15" s="26">
        <v>20.0</v>
      </c>
      <c r="I15" s="25">
        <v>114.009182796937</v>
      </c>
      <c r="J15" s="25">
        <v>0.0017</v>
      </c>
      <c r="K15" s="25">
        <v>0.014911079601613218</v>
      </c>
      <c r="L15" s="26">
        <v>0.0</v>
      </c>
      <c r="M15" s="24" t="inlineStr">
        <is>
          <t xml:space="preserve">observed core increment; not a fitted mean</t>
        </is>
      </c>
      <c r="N15" s="26">
        <v>1.0</v>
      </c>
    </row>
    <row r="16" ht="24" customHeight="1">
      <c r="A16" s="24" t="inlineStr">
        <is>
          <t xml:space="preserve">hedgerows</t>
        </is>
      </c>
      <c r="B16" s="24" t="inlineStr">
        <is>
          <t xml:space="preserve">30-year-old hedgerow</t>
        </is>
      </c>
      <c r="C16" s="26">
        <v>184.0</v>
      </c>
      <c r="D16" s="24" t="inlineStr">
        <is>
          <t xml:space="preserve">184_HRDY1_1_A3</t>
        </is>
      </c>
      <c r="E16" s="24" t="inlineStr">
        <is>
          <t xml:space="preserve">HRDY1.1</t>
        </is>
      </c>
      <c r="F16" s="24" t="inlineStr">
        <is>
          <t xml:space="preserve">20-50</t>
        </is>
      </c>
      <c r="G16" s="26">
        <v>20.0</v>
      </c>
      <c r="H16" s="26">
        <v>50.0</v>
      </c>
      <c r="I16" s="25">
        <v>342.027548390811</v>
      </c>
      <c r="J16" s="25">
        <v>0.0772</v>
      </c>
      <c r="K16" s="25">
        <v>0.22571281279304717</v>
      </c>
      <c r="L16" s="26">
        <v>0.0</v>
      </c>
      <c r="M16" s="24" t="inlineStr">
        <is>
          <t xml:space="preserve">observed core increment; not a fitted mean</t>
        </is>
      </c>
      <c r="N16" s="26">
        <v>1.0</v>
      </c>
    </row>
    <row r="17" ht="24" customHeight="1">
      <c r="A17" s="24" t="inlineStr">
        <is>
          <t xml:space="preserve">hedgerows</t>
        </is>
      </c>
      <c r="B17" s="24" t="inlineStr">
        <is>
          <t xml:space="preserve">30-year-old hedgerow</t>
        </is>
      </c>
      <c r="C17" s="26">
        <v>185.0</v>
      </c>
      <c r="D17" s="24" t="inlineStr">
        <is>
          <t xml:space="preserve">185_HRDY1_1_A4</t>
        </is>
      </c>
      <c r="E17" s="24" t="inlineStr">
        <is>
          <t xml:space="preserve">HRDY1.1</t>
        </is>
      </c>
      <c r="F17" s="24" t="inlineStr">
        <is>
          <t xml:space="preserve">50-75</t>
        </is>
      </c>
      <c r="G17" s="26">
        <v>50.0</v>
      </c>
      <c r="H17" s="26">
        <v>75.0</v>
      </c>
      <c r="I17" s="25">
        <v>285.0229569923425</v>
      </c>
      <c r="J17" s="25">
        <v>0.0128</v>
      </c>
      <c r="K17" s="25">
        <v>0.044908663270740994</v>
      </c>
      <c r="L17" s="26">
        <v>0.0</v>
      </c>
      <c r="M17" s="24" t="inlineStr">
        <is>
          <t xml:space="preserve">observed core increment; not a fitted mean</t>
        </is>
      </c>
      <c r="N17" s="26">
        <v>1.0</v>
      </c>
    </row>
    <row r="18" ht="24" customHeight="1">
      <c r="A18" s="24" t="inlineStr">
        <is>
          <t xml:space="preserve">hedgerows</t>
        </is>
      </c>
      <c r="B18" s="24" t="inlineStr">
        <is>
          <t xml:space="preserve">30-year-old hedgerow</t>
        </is>
      </c>
      <c r="C18" s="26">
        <v>187.0</v>
      </c>
      <c r="D18" s="24" t="inlineStr">
        <is>
          <t xml:space="preserve">187_HRDY1_2_A1</t>
        </is>
      </c>
      <c r="E18" s="24" t="inlineStr">
        <is>
          <t xml:space="preserve">HRDY1.2</t>
        </is>
      </c>
      <c r="F18" s="24" t="inlineStr">
        <is>
          <t xml:space="preserve">0-10</t>
        </is>
      </c>
      <c r="G18" s="26">
        <v>0.0</v>
      </c>
      <c r="H18" s="26">
        <v>10.0</v>
      </c>
      <c r="I18" s="25">
        <v>114.009182796937</v>
      </c>
      <c r="J18" s="25">
        <v>0.0</v>
      </c>
      <c r="K18" s="25">
        <v>0.0</v>
      </c>
      <c r="L18" s="26">
        <v>0.0</v>
      </c>
      <c r="M18" s="24" t="inlineStr">
        <is>
          <t xml:space="preserve">observed core increment; not a fitted mean</t>
        </is>
      </c>
      <c r="N18" s="26">
        <v>2.0</v>
      </c>
    </row>
    <row r="19" ht="24" customHeight="1">
      <c r="A19" s="24" t="inlineStr">
        <is>
          <t xml:space="preserve">hedgerows</t>
        </is>
      </c>
      <c r="B19" s="24" t="inlineStr">
        <is>
          <t xml:space="preserve">30-year-old hedgerow</t>
        </is>
      </c>
      <c r="C19" s="26">
        <v>188.0</v>
      </c>
      <c r="D19" s="24" t="inlineStr">
        <is>
          <t xml:space="preserve">188_HRDY1_2_A2</t>
        </is>
      </c>
      <c r="E19" s="24" t="inlineStr">
        <is>
          <t xml:space="preserve">HRDY1.2</t>
        </is>
      </c>
      <c r="F19" s="24" t="inlineStr">
        <is>
          <t xml:space="preserve">10-20</t>
        </is>
      </c>
      <c r="G19" s="26">
        <v>10.0</v>
      </c>
      <c r="H19" s="26">
        <v>20.0</v>
      </c>
      <c r="I19" s="25">
        <v>114.009182796937</v>
      </c>
      <c r="J19" s="25">
        <v>0.3547</v>
      </c>
      <c r="K19" s="25">
        <v>3.111152902760123</v>
      </c>
      <c r="L19" s="26">
        <v>0.0</v>
      </c>
      <c r="M19" s="24" t="inlineStr">
        <is>
          <t xml:space="preserve">observed core increment; not a fitted mean</t>
        </is>
      </c>
      <c r="N19" s="26">
        <v>2.0</v>
      </c>
    </row>
    <row r="20" ht="24" customHeight="1">
      <c r="A20" s="24" t="inlineStr">
        <is>
          <t xml:space="preserve">hedgerows</t>
        </is>
      </c>
      <c r="B20" s="24" t="inlineStr">
        <is>
          <t xml:space="preserve">30-year-old hedgerow</t>
        </is>
      </c>
      <c r="C20" s="26">
        <v>189.0</v>
      </c>
      <c r="D20" s="24" t="inlineStr">
        <is>
          <t xml:space="preserve">189_HRDY1_2_A3</t>
        </is>
      </c>
      <c r="E20" s="24" t="inlineStr">
        <is>
          <t xml:space="preserve">HRDY1.2</t>
        </is>
      </c>
      <c r="F20" s="24" t="inlineStr">
        <is>
          <t xml:space="preserve">20-50</t>
        </is>
      </c>
      <c r="G20" s="26">
        <v>20.0</v>
      </c>
      <c r="H20" s="26">
        <v>50.0</v>
      </c>
      <c r="I20" s="25">
        <v>342.027548390811</v>
      </c>
      <c r="J20" s="25">
        <v>0.3405</v>
      </c>
      <c r="K20" s="25">
        <v>0.9955338439900591</v>
      </c>
      <c r="L20" s="26">
        <v>0.0</v>
      </c>
      <c r="M20" s="24" t="inlineStr">
        <is>
          <t xml:space="preserve">observed core increment; not a fitted mean</t>
        </is>
      </c>
      <c r="N20" s="26">
        <v>2.0</v>
      </c>
    </row>
    <row r="21" ht="24" customHeight="1">
      <c r="A21" s="24" t="inlineStr">
        <is>
          <t xml:space="preserve">hedgerows</t>
        </is>
      </c>
      <c r="B21" s="24" t="inlineStr">
        <is>
          <t xml:space="preserve">30-year-old hedgerow</t>
        </is>
      </c>
      <c r="C21" s="26">
        <v>190.0</v>
      </c>
      <c r="D21" s="24" t="inlineStr">
        <is>
          <t xml:space="preserve">190_HRDY1_2_A4</t>
        </is>
      </c>
      <c r="E21" s="24" t="inlineStr">
        <is>
          <t xml:space="preserve">HRDY1.2</t>
        </is>
      </c>
      <c r="F21" s="24" t="inlineStr">
        <is>
          <t xml:space="preserve">50-75</t>
        </is>
      </c>
      <c r="G21" s="26">
        <v>50.0</v>
      </c>
      <c r="H21" s="26">
        <v>75.0</v>
      </c>
      <c r="I21" s="25">
        <v>285.0229569923425</v>
      </c>
      <c r="J21" s="25">
        <v>0.0109</v>
      </c>
      <c r="K21" s="25">
        <v>0.03824253356649038</v>
      </c>
      <c r="L21" s="26">
        <v>0.0</v>
      </c>
      <c r="M21" s="24" t="inlineStr">
        <is>
          <t xml:space="preserve">observed core increment; not a fitted mean</t>
        </is>
      </c>
      <c r="N21" s="26">
        <v>2.0</v>
      </c>
    </row>
    <row r="22" ht="24" customHeight="1">
      <c r="A22" s="24" t="inlineStr">
        <is>
          <t xml:space="preserve">hedgerows</t>
        </is>
      </c>
      <c r="B22" s="24" t="inlineStr">
        <is>
          <t xml:space="preserve">30-year-old hedgerow</t>
        </is>
      </c>
      <c r="C22" s="26">
        <v>192.0</v>
      </c>
      <c r="D22" s="24" t="inlineStr">
        <is>
          <t xml:space="preserve">192_HRDY1_3_A1</t>
        </is>
      </c>
      <c r="E22" s="24" t="inlineStr">
        <is>
          <t xml:space="preserve">HRDY1.3</t>
        </is>
      </c>
      <c r="F22" s="24" t="inlineStr">
        <is>
          <t xml:space="preserve">0-10</t>
        </is>
      </c>
      <c r="G22" s="26">
        <v>0.0</v>
      </c>
      <c r="H22" s="26">
        <v>10.0</v>
      </c>
      <c r="I22" s="25">
        <v>114.009182796937</v>
      </c>
      <c r="J22" s="25">
        <v>0.0013</v>
      </c>
      <c r="K22" s="25">
        <v>0.01140259028358658</v>
      </c>
      <c r="L22" s="26">
        <v>0.0</v>
      </c>
      <c r="M22" s="24" t="inlineStr">
        <is>
          <t xml:space="preserve">observed core increment; not a fitted mean</t>
        </is>
      </c>
      <c r="N22" s="26">
        <v>3.0</v>
      </c>
    </row>
    <row r="23" ht="24" customHeight="1">
      <c r="A23" s="24" t="inlineStr">
        <is>
          <t xml:space="preserve">hedgerows</t>
        </is>
      </c>
      <c r="B23" s="24" t="inlineStr">
        <is>
          <t xml:space="preserve">30-year-old hedgerow</t>
        </is>
      </c>
      <c r="C23" s="26">
        <v>193.0</v>
      </c>
      <c r="D23" s="24" t="inlineStr">
        <is>
          <t xml:space="preserve">193_HRDY1_3_A2</t>
        </is>
      </c>
      <c r="E23" s="24" t="inlineStr">
        <is>
          <t xml:space="preserve">HRDY1.3</t>
        </is>
      </c>
      <c r="F23" s="24" t="inlineStr">
        <is>
          <t xml:space="preserve">10-20</t>
        </is>
      </c>
      <c r="G23" s="26">
        <v>10.0</v>
      </c>
      <c r="H23" s="26">
        <v>20.0</v>
      </c>
      <c r="I23" s="25">
        <v>114.009182796937</v>
      </c>
      <c r="J23" s="25">
        <v>0.0128</v>
      </c>
      <c r="K23" s="25">
        <v>0.11227165817685247</v>
      </c>
      <c r="L23" s="26">
        <v>0.0</v>
      </c>
      <c r="M23" s="24" t="inlineStr">
        <is>
          <t xml:space="preserve">observed core increment; not a fitted mean</t>
        </is>
      </c>
      <c r="N23" s="26">
        <v>3.0</v>
      </c>
    </row>
    <row r="24" ht="24" customHeight="1">
      <c r="A24" s="24" t="inlineStr">
        <is>
          <t xml:space="preserve">hedgerows</t>
        </is>
      </c>
      <c r="B24" s="24" t="inlineStr">
        <is>
          <t xml:space="preserve">30-year-old hedgerow</t>
        </is>
      </c>
      <c r="C24" s="26">
        <v>194.0</v>
      </c>
      <c r="D24" s="24" t="inlineStr">
        <is>
          <t xml:space="preserve">194_HRDY1_3_A3</t>
        </is>
      </c>
      <c r="E24" s="24" t="inlineStr">
        <is>
          <t xml:space="preserve">HRDY1.3</t>
        </is>
      </c>
      <c r="F24" s="24" t="inlineStr">
        <is>
          <t xml:space="preserve">20-50</t>
        </is>
      </c>
      <c r="G24" s="26">
        <v>20.0</v>
      </c>
      <c r="H24" s="26">
        <v>50.0</v>
      </c>
      <c r="I24" s="25">
        <v>342.027548390811</v>
      </c>
      <c r="J24" s="25">
        <v>0.3305</v>
      </c>
      <c r="K24" s="25">
        <v>0.9662964330065037</v>
      </c>
      <c r="L24" s="26">
        <v>0.0</v>
      </c>
      <c r="M24" s="24" t="inlineStr">
        <is>
          <t xml:space="preserve">observed core increment; not a fitted mean</t>
        </is>
      </c>
      <c r="N24" s="26">
        <v>3.0</v>
      </c>
    </row>
    <row r="25" ht="24" customHeight="1">
      <c r="A25" s="24" t="inlineStr">
        <is>
          <t xml:space="preserve">hedgerows</t>
        </is>
      </c>
      <c r="B25" s="24" t="inlineStr">
        <is>
          <t xml:space="preserve">30-year-old hedgerow</t>
        </is>
      </c>
      <c r="C25" s="26">
        <v>195.0</v>
      </c>
      <c r="D25" s="24" t="inlineStr">
        <is>
          <t xml:space="preserve">195_HRDY1_3_A4</t>
        </is>
      </c>
      <c r="E25" s="24" t="inlineStr">
        <is>
          <t xml:space="preserve">HRDY1.3</t>
        </is>
      </c>
      <c r="F25" s="24" t="inlineStr">
        <is>
          <t xml:space="preserve">50-75</t>
        </is>
      </c>
      <c r="G25" s="26">
        <v>50.0</v>
      </c>
      <c r="H25" s="26">
        <v>75.0</v>
      </c>
      <c r="I25" s="25">
        <v>285.0229569923425</v>
      </c>
      <c r="J25" s="25">
        <v>0.4594</v>
      </c>
      <c r="K25" s="25">
        <v>1.6117999927014384</v>
      </c>
      <c r="L25" s="26">
        <v>0.0</v>
      </c>
      <c r="M25" s="24" t="inlineStr">
        <is>
          <t xml:space="preserve">observed core increment; not a fitted mean</t>
        </is>
      </c>
      <c r="N25" s="26">
        <v>3.0</v>
      </c>
    </row>
    <row r="26" ht="24" customHeight="1">
      <c r="A26" s="24" t="inlineStr">
        <is>
          <t xml:space="preserve">hedgerows</t>
        </is>
      </c>
      <c r="B26" s="24" t="inlineStr">
        <is>
          <t xml:space="preserve">bare field margin</t>
        </is>
      </c>
      <c r="C26" s="26">
        <v>212.0</v>
      </c>
      <c r="D26" s="24" t="inlineStr">
        <is>
          <t xml:space="preserve">212_HRDY3_1_A1</t>
        </is>
      </c>
      <c r="E26" s="24" t="inlineStr">
        <is>
          <t xml:space="preserve">HRDY3.1</t>
        </is>
      </c>
      <c r="F26" s="24" t="inlineStr">
        <is>
          <t xml:space="preserve">0-10</t>
        </is>
      </c>
      <c r="G26" s="26">
        <v>0.0</v>
      </c>
      <c r="H26" s="26">
        <v>10.0</v>
      </c>
      <c r="I26" s="25">
        <v>114.009182796937</v>
      </c>
      <c r="J26" s="25">
        <v>0.0012</v>
      </c>
      <c r="K26" s="25">
        <v>0.01052546795407992</v>
      </c>
      <c r="L26" s="26">
        <v>0.0</v>
      </c>
      <c r="M26" s="24" t="inlineStr">
        <is>
          <t xml:space="preserve">observed core increment; not a fitted mean</t>
        </is>
      </c>
      <c r="N26" s="26">
        <v>1.0</v>
      </c>
    </row>
    <row r="27" ht="24" customHeight="1">
      <c r="A27" s="24" t="inlineStr">
        <is>
          <t xml:space="preserve">hedgerows</t>
        </is>
      </c>
      <c r="B27" s="24" t="inlineStr">
        <is>
          <t xml:space="preserve">bare field margin</t>
        </is>
      </c>
      <c r="C27" s="26">
        <v>213.0</v>
      </c>
      <c r="D27" s="24" t="inlineStr">
        <is>
          <t xml:space="preserve">213_HRDY3_1_A2</t>
        </is>
      </c>
      <c r="E27" s="24" t="inlineStr">
        <is>
          <t xml:space="preserve">HRDY3.1</t>
        </is>
      </c>
      <c r="F27" s="24" t="inlineStr">
        <is>
          <t xml:space="preserve">10-20</t>
        </is>
      </c>
      <c r="G27" s="26">
        <v>10.0</v>
      </c>
      <c r="H27" s="26">
        <v>20.0</v>
      </c>
      <c r="I27" s="25">
        <v>114.009182796937</v>
      </c>
      <c r="J27" s="25">
        <v>0.0051</v>
      </c>
      <c r="K27" s="25">
        <v>0.04473323880483966</v>
      </c>
      <c r="L27" s="26">
        <v>0.0</v>
      </c>
      <c r="M27" s="24" t="inlineStr">
        <is>
          <t xml:space="preserve">observed core increment; not a fitted mean</t>
        </is>
      </c>
      <c r="N27" s="26">
        <v>1.0</v>
      </c>
    </row>
    <row r="28" ht="24" customHeight="1">
      <c r="A28" s="24" t="inlineStr">
        <is>
          <t xml:space="preserve">hedgerows</t>
        </is>
      </c>
      <c r="B28" s="24" t="inlineStr">
        <is>
          <t xml:space="preserve">bare field margin</t>
        </is>
      </c>
      <c r="C28" s="26">
        <v>214.0</v>
      </c>
      <c r="D28" s="24" t="inlineStr">
        <is>
          <t xml:space="preserve">214_HRDY3_1_A3</t>
        </is>
      </c>
      <c r="E28" s="24" t="inlineStr">
        <is>
          <t xml:space="preserve">HRDY3.1</t>
        </is>
      </c>
      <c r="F28" s="24" t="inlineStr">
        <is>
          <t xml:space="preserve">20-50</t>
        </is>
      </c>
      <c r="G28" s="26">
        <v>20.0</v>
      </c>
      <c r="H28" s="26">
        <v>50.0</v>
      </c>
      <c r="I28" s="25">
        <v>342.027548390811</v>
      </c>
      <c r="J28" s="25">
        <v>0.0056</v>
      </c>
      <c r="K28" s="25">
        <v>0.016372950150790985</v>
      </c>
      <c r="L28" s="26">
        <v>0.0</v>
      </c>
      <c r="M28" s="24" t="inlineStr">
        <is>
          <t xml:space="preserve">observed core increment; not a fitted mean</t>
        </is>
      </c>
      <c r="N28" s="26">
        <v>1.0</v>
      </c>
    </row>
    <row r="29" ht="24" customHeight="1">
      <c r="A29" s="24" t="inlineStr">
        <is>
          <t xml:space="preserve">hedgerows</t>
        </is>
      </c>
      <c r="B29" s="24" t="inlineStr">
        <is>
          <t xml:space="preserve">bare field margin</t>
        </is>
      </c>
      <c r="C29" s="26">
        <v>215.0</v>
      </c>
      <c r="D29" s="24" t="inlineStr">
        <is>
          <t xml:space="preserve">215_HRDY3_1_A4</t>
        </is>
      </c>
      <c r="E29" s="24" t="inlineStr">
        <is>
          <t xml:space="preserve">HRDY3.1</t>
        </is>
      </c>
      <c r="F29" s="24" t="inlineStr">
        <is>
          <t xml:space="preserve">50-75</t>
        </is>
      </c>
      <c r="G29" s="26">
        <v>50.0</v>
      </c>
      <c r="H29" s="26">
        <v>75.0</v>
      </c>
      <c r="I29" s="25">
        <v>285.0229569923425</v>
      </c>
      <c r="J29" s="25">
        <v>0.0003</v>
      </c>
      <c r="K29" s="25">
        <v>0.001052546795407992</v>
      </c>
      <c r="L29" s="26">
        <v>0.0</v>
      </c>
      <c r="M29" s="24" t="inlineStr">
        <is>
          <t xml:space="preserve">observed core increment; not a fitted mean</t>
        </is>
      </c>
      <c r="N29" s="26">
        <v>1.0</v>
      </c>
    </row>
    <row r="30" ht="24" customHeight="1">
      <c r="A30" s="24" t="inlineStr">
        <is>
          <t xml:space="preserve">hedgerows</t>
        </is>
      </c>
      <c r="B30" s="24" t="inlineStr">
        <is>
          <t xml:space="preserve">bare field margin</t>
        </is>
      </c>
      <c r="C30" s="26">
        <v>217.0</v>
      </c>
      <c r="D30" s="24" t="inlineStr">
        <is>
          <t xml:space="preserve">217_HRDY3_2_A1</t>
        </is>
      </c>
      <c r="E30" s="24" t="inlineStr">
        <is>
          <t xml:space="preserve">HRDY3.2</t>
        </is>
      </c>
      <c r="F30" s="24" t="inlineStr">
        <is>
          <t xml:space="preserve">0-10</t>
        </is>
      </c>
      <c r="G30" s="26">
        <v>0.0</v>
      </c>
      <c r="H30" s="26">
        <v>10.0</v>
      </c>
      <c r="I30" s="25">
        <v>114.009182796937</v>
      </c>
      <c r="J30" s="25">
        <v>0.0227</v>
      </c>
      <c r="K30" s="25">
        <v>0.19910676879801184</v>
      </c>
      <c r="L30" s="26">
        <v>0.0</v>
      </c>
      <c r="M30" s="24" t="inlineStr">
        <is>
          <t xml:space="preserve">observed core increment; not a fitted mean</t>
        </is>
      </c>
      <c r="N30" s="26">
        <v>2.0</v>
      </c>
    </row>
    <row r="31" ht="24" customHeight="1">
      <c r="A31" s="24" t="inlineStr">
        <is>
          <t xml:space="preserve">hedgerows</t>
        </is>
      </c>
      <c r="B31" s="24" t="inlineStr">
        <is>
          <t xml:space="preserve">bare field margin</t>
        </is>
      </c>
      <c r="C31" s="26">
        <v>218.0</v>
      </c>
      <c r="D31" s="24" t="inlineStr">
        <is>
          <t xml:space="preserve">218_HRDY3_2_A2</t>
        </is>
      </c>
      <c r="E31" s="24" t="inlineStr">
        <is>
          <t xml:space="preserve">HRDY3.2</t>
        </is>
      </c>
      <c r="F31" s="24" t="inlineStr">
        <is>
          <t xml:space="preserve">10-20</t>
        </is>
      </c>
      <c r="G31" s="26">
        <v>10.0</v>
      </c>
      <c r="H31" s="26">
        <v>20.0</v>
      </c>
      <c r="I31" s="25">
        <v>114.009182796937</v>
      </c>
      <c r="J31" s="25">
        <v>0.0052</v>
      </c>
      <c r="K31" s="25">
        <v>0.04561036113434632</v>
      </c>
      <c r="L31" s="26">
        <v>0.0</v>
      </c>
      <c r="M31" s="24" t="inlineStr">
        <is>
          <t xml:space="preserve">observed core increment; not a fitted mean</t>
        </is>
      </c>
      <c r="N31" s="26">
        <v>2.0</v>
      </c>
    </row>
    <row r="32" ht="24" customHeight="1">
      <c r="A32" s="24" t="inlineStr">
        <is>
          <t xml:space="preserve">hedgerows</t>
        </is>
      </c>
      <c r="B32" s="24" t="inlineStr">
        <is>
          <t xml:space="preserve">bare field margin</t>
        </is>
      </c>
      <c r="C32" s="26">
        <v>219.0</v>
      </c>
      <c r="D32" s="24" t="inlineStr">
        <is>
          <t xml:space="preserve">219_HRDY3_2_A3</t>
        </is>
      </c>
      <c r="E32" s="24" t="inlineStr">
        <is>
          <t xml:space="preserve">HRDY3.2</t>
        </is>
      </c>
      <c r="F32" s="24" t="inlineStr">
        <is>
          <t xml:space="preserve">20-50</t>
        </is>
      </c>
      <c r="G32" s="26">
        <v>20.0</v>
      </c>
      <c r="H32" s="26">
        <v>50.0</v>
      </c>
      <c r="I32" s="25">
        <v>342.027548390811</v>
      </c>
      <c r="J32" s="25">
        <v>0.0003</v>
      </c>
      <c r="K32" s="25">
        <v>0.00087712232950666</v>
      </c>
      <c r="L32" s="26">
        <v>0.0</v>
      </c>
      <c r="M32" s="24" t="inlineStr">
        <is>
          <t xml:space="preserve">observed core increment; not a fitted mean</t>
        </is>
      </c>
      <c r="N32" s="26">
        <v>2.0</v>
      </c>
    </row>
    <row r="33" ht="24" customHeight="1">
      <c r="A33" s="24" t="inlineStr">
        <is>
          <t xml:space="preserve">hedgerows</t>
        </is>
      </c>
      <c r="B33" s="24" t="inlineStr">
        <is>
          <t xml:space="preserve">bare field margin</t>
        </is>
      </c>
      <c r="C33" s="26">
        <v>220.0</v>
      </c>
      <c r="D33" s="24" t="inlineStr">
        <is>
          <t xml:space="preserve">220_HRDY3_2_A4</t>
        </is>
      </c>
      <c r="E33" s="24" t="inlineStr">
        <is>
          <t xml:space="preserve">HRDY3.2</t>
        </is>
      </c>
      <c r="F33" s="24" t="inlineStr">
        <is>
          <t xml:space="preserve">50-75</t>
        </is>
      </c>
      <c r="G33" s="26">
        <v>50.0</v>
      </c>
      <c r="H33" s="26">
        <v>75.0</v>
      </c>
      <c r="I33" s="25">
        <v>285.0229569923425</v>
      </c>
      <c r="J33" s="25">
        <v>0.0</v>
      </c>
      <c r="K33" s="25">
        <v>0.0</v>
      </c>
      <c r="L33" s="26">
        <v>0.0</v>
      </c>
      <c r="M33" s="24" t="inlineStr">
        <is>
          <t xml:space="preserve">observed core increment; not a fitted mean</t>
        </is>
      </c>
      <c r="N33" s="26">
        <v>2.0</v>
      </c>
    </row>
    <row r="34" ht="24" customHeight="1">
      <c r="A34" s="24" t="inlineStr">
        <is>
          <t xml:space="preserve">hedgerows</t>
        </is>
      </c>
      <c r="B34" s="24" t="inlineStr">
        <is>
          <t xml:space="preserve">bare field margin</t>
        </is>
      </c>
      <c r="C34" s="26">
        <v>222.0</v>
      </c>
      <c r="D34" s="24" t="inlineStr">
        <is>
          <t xml:space="preserve">222_HRDY3_3_A1</t>
        </is>
      </c>
      <c r="E34" s="24" t="inlineStr">
        <is>
          <t xml:space="preserve">HRDY3.3</t>
        </is>
      </c>
      <c r="F34" s="24" t="inlineStr">
        <is>
          <t xml:space="preserve">0-10</t>
        </is>
      </c>
      <c r="G34" s="26">
        <v>0.0</v>
      </c>
      <c r="H34" s="26">
        <v>10.0</v>
      </c>
      <c r="I34" s="25">
        <v>114.009182796937</v>
      </c>
      <c r="J34" s="25">
        <v>0.014</v>
      </c>
      <c r="K34" s="25">
        <v>0.1227971261309324</v>
      </c>
      <c r="L34" s="26">
        <v>0.0</v>
      </c>
      <c r="M34" s="24" t="inlineStr">
        <is>
          <t xml:space="preserve">observed core increment; not a fitted mean</t>
        </is>
      </c>
      <c r="N34" s="26">
        <v>3.0</v>
      </c>
    </row>
    <row r="35" ht="24" customHeight="1">
      <c r="A35" s="24" t="inlineStr">
        <is>
          <t xml:space="preserve">hedgerows</t>
        </is>
      </c>
      <c r="B35" s="24" t="inlineStr">
        <is>
          <t xml:space="preserve">bare field margin</t>
        </is>
      </c>
      <c r="C35" s="26">
        <v>223.0</v>
      </c>
      <c r="D35" s="24" t="inlineStr">
        <is>
          <t xml:space="preserve">223_HRDY3_3_A2</t>
        </is>
      </c>
      <c r="E35" s="24" t="inlineStr">
        <is>
          <t xml:space="preserve">HRDY3.3</t>
        </is>
      </c>
      <c r="F35" s="24" t="inlineStr">
        <is>
          <t xml:space="preserve">10-20</t>
        </is>
      </c>
      <c r="G35" s="26">
        <v>10.0</v>
      </c>
      <c r="H35" s="26">
        <v>20.0</v>
      </c>
      <c r="I35" s="25">
        <v>114.009182796937</v>
      </c>
      <c r="J35" s="25">
        <v>0.0021</v>
      </c>
      <c r="K35" s="25">
        <v>0.018419568919639858</v>
      </c>
      <c r="L35" s="26">
        <v>0.0</v>
      </c>
      <c r="M35" s="24" t="inlineStr">
        <is>
          <t xml:space="preserve">observed core increment; not a fitted mean</t>
        </is>
      </c>
      <c r="N35" s="26">
        <v>3.0</v>
      </c>
    </row>
    <row r="36" ht="24" customHeight="1">
      <c r="A36" s="24" t="inlineStr">
        <is>
          <t xml:space="preserve">hedgerows</t>
        </is>
      </c>
      <c r="B36" s="24" t="inlineStr">
        <is>
          <t xml:space="preserve">bare field margin</t>
        </is>
      </c>
      <c r="C36" s="26">
        <v>224.0</v>
      </c>
      <c r="D36" s="24" t="inlineStr">
        <is>
          <t xml:space="preserve">224_HRDY3_3_A3</t>
        </is>
      </c>
      <c r="E36" s="24" t="inlineStr">
        <is>
          <t xml:space="preserve">HRDY3.3</t>
        </is>
      </c>
      <c r="F36" s="24" t="inlineStr">
        <is>
          <t xml:space="preserve">20-50</t>
        </is>
      </c>
      <c r="G36" s="26">
        <v>20.0</v>
      </c>
      <c r="H36" s="26">
        <v>50.0</v>
      </c>
      <c r="I36" s="25">
        <v>342.027548390811</v>
      </c>
      <c r="J36" s="25">
        <v>0.003</v>
      </c>
      <c r="K36" s="25">
        <v>0.0087712232950666</v>
      </c>
      <c r="L36" s="26">
        <v>0.0</v>
      </c>
      <c r="M36" s="24" t="inlineStr">
        <is>
          <t xml:space="preserve">observed core increment; not a fitted mean</t>
        </is>
      </c>
      <c r="N36" s="26">
        <v>3.0</v>
      </c>
    </row>
    <row r="37" ht="24" customHeight="1">
      <c r="A37" s="24" t="inlineStr">
        <is>
          <t xml:space="preserve">hedgerows</t>
        </is>
      </c>
      <c r="B37" s="24" t="inlineStr">
        <is>
          <t xml:space="preserve">bare field margin</t>
        </is>
      </c>
      <c r="C37" s="26">
        <v>225.0</v>
      </c>
      <c r="D37" s="24" t="inlineStr">
        <is>
          <t xml:space="preserve">225_HRDY3_3_A4</t>
        </is>
      </c>
      <c r="E37" s="24" t="inlineStr">
        <is>
          <t xml:space="preserve">HRDY3.3</t>
        </is>
      </c>
      <c r="F37" s="24" t="inlineStr">
        <is>
          <t xml:space="preserve">50-75</t>
        </is>
      </c>
      <c r="G37" s="26">
        <v>50.0</v>
      </c>
      <c r="H37" s="26">
        <v>75.0</v>
      </c>
      <c r="I37" s="25">
        <v>285.0229569923425</v>
      </c>
      <c r="J37" s="25">
        <v>0.0</v>
      </c>
      <c r="K37" s="25">
        <v>0.0</v>
      </c>
      <c r="L37" s="26">
        <v>0.0</v>
      </c>
      <c r="M37" s="24" t="inlineStr">
        <is>
          <t xml:space="preserve">observed core increment; not a fitted mean</t>
        </is>
      </c>
      <c r="N37" s="26">
        <v>3.0</v>
      </c>
    </row>
    <row r="38" ht="24" customHeight="1">
      <c r="A38" s="24" t="inlineStr">
        <is>
          <t xml:space="preserve">orchards</t>
        </is>
      </c>
      <c r="B38" s="24" t="inlineStr">
        <is>
          <t xml:space="preserve">20-year-old orchard</t>
        </is>
      </c>
      <c r="C38" s="26">
        <v>122.0</v>
      </c>
      <c r="D38" s="24" t="inlineStr">
        <is>
          <t xml:space="preserve">122_MAS2_1_A1</t>
        </is>
      </c>
      <c r="E38" s="24" t="inlineStr">
        <is>
          <t xml:space="preserve">MAS2.1</t>
        </is>
      </c>
      <c r="F38" s="24" t="inlineStr">
        <is>
          <t xml:space="preserve">0-10</t>
        </is>
      </c>
      <c r="G38" s="26">
        <v>0.0</v>
      </c>
      <c r="H38" s="26">
        <v>10.0</v>
      </c>
      <c r="I38" s="25">
        <v>114.009182796937</v>
      </c>
      <c r="J38" s="25">
        <v>0.027800000000000047</v>
      </c>
      <c r="K38" s="25">
        <v>0.24384000760285188</v>
      </c>
      <c r="L38" s="26">
        <v>0.0</v>
      </c>
      <c r="M38" s="24" t="inlineStr">
        <is>
          <t xml:space="preserve">observed core increment; not a fitted mean</t>
        </is>
      </c>
      <c r="N38" s="26">
        <v>1.0</v>
      </c>
    </row>
    <row r="39" ht="24" customHeight="1">
      <c r="A39" s="24" t="inlineStr">
        <is>
          <t xml:space="preserve">orchards</t>
        </is>
      </c>
      <c r="B39" s="24" t="inlineStr">
        <is>
          <t xml:space="preserve">20-year-old orchard</t>
        </is>
      </c>
      <c r="C39" s="26">
        <v>123.0</v>
      </c>
      <c r="D39" s="24" t="inlineStr">
        <is>
          <t xml:space="preserve">123_MAS2_1_A2</t>
        </is>
      </c>
      <c r="E39" s="24" t="inlineStr">
        <is>
          <t xml:space="preserve">MAS2.1</t>
        </is>
      </c>
      <c r="F39" s="24" t="inlineStr">
        <is>
          <t xml:space="preserve">10-20</t>
        </is>
      </c>
      <c r="G39" s="26">
        <v>10.0</v>
      </c>
      <c r="H39" s="26">
        <v>20.0</v>
      </c>
      <c r="I39" s="25">
        <v>114.009182796937</v>
      </c>
      <c r="J39" s="25">
        <v>0.0</v>
      </c>
      <c r="K39" s="25">
        <v>0.0</v>
      </c>
      <c r="L39" s="26">
        <v>0.0</v>
      </c>
      <c r="M39" s="24" t="inlineStr">
        <is>
          <t xml:space="preserve">observed core increment; not a fitted mean</t>
        </is>
      </c>
      <c r="N39" s="26">
        <v>1.0</v>
      </c>
    </row>
    <row r="40" ht="24" customHeight="1">
      <c r="A40" s="24" t="inlineStr">
        <is>
          <t xml:space="preserve">orchards</t>
        </is>
      </c>
      <c r="B40" s="24" t="inlineStr">
        <is>
          <t xml:space="preserve">20-year-old orchard</t>
        </is>
      </c>
      <c r="C40" s="26">
        <v>124.0</v>
      </c>
      <c r="D40" s="24" t="inlineStr">
        <is>
          <t xml:space="preserve">124_MAS2_1_A3</t>
        </is>
      </c>
      <c r="E40" s="24" t="inlineStr">
        <is>
          <t xml:space="preserve">MAS2.1</t>
        </is>
      </c>
      <c r="F40" s="24" t="inlineStr">
        <is>
          <t xml:space="preserve">20-50</t>
        </is>
      </c>
      <c r="G40" s="26">
        <v>20.0</v>
      </c>
      <c r="H40" s="26">
        <v>50.0</v>
      </c>
      <c r="I40" s="25">
        <v>342.027548390811</v>
      </c>
      <c r="J40" s="25">
        <v>0.007800000000000029</v>
      </c>
      <c r="K40" s="25">
        <v>0.022805180567173244</v>
      </c>
      <c r="L40" s="26">
        <v>0.0</v>
      </c>
      <c r="M40" s="24" t="inlineStr">
        <is>
          <t xml:space="preserve">observed core increment; not a fitted mean</t>
        </is>
      </c>
      <c r="N40" s="26">
        <v>1.0</v>
      </c>
    </row>
    <row r="41" ht="24" customHeight="1">
      <c r="A41" s="24" t="inlineStr">
        <is>
          <t xml:space="preserve">orchards</t>
        </is>
      </c>
      <c r="B41" s="24" t="inlineStr">
        <is>
          <t xml:space="preserve">20-year-old orchard</t>
        </is>
      </c>
      <c r="C41" s="26">
        <v>125.0</v>
      </c>
      <c r="D41" s="24" t="inlineStr">
        <is>
          <t xml:space="preserve">125_MAS2_1_A4</t>
        </is>
      </c>
      <c r="E41" s="24" t="inlineStr">
        <is>
          <t xml:space="preserve">MAS2.1</t>
        </is>
      </c>
      <c r="F41" s="24" t="inlineStr">
        <is>
          <t xml:space="preserve">50-75</t>
        </is>
      </c>
      <c r="G41" s="26">
        <v>50.0</v>
      </c>
      <c r="H41" s="26">
        <v>75.0</v>
      </c>
      <c r="I41" s="25">
        <v>285.0229569923425</v>
      </c>
      <c r="J41" s="25">
        <v>0.008099999999999996</v>
      </c>
      <c r="K41" s="25">
        <v>0.02841876347601577</v>
      </c>
      <c r="L41" s="26">
        <v>0.0</v>
      </c>
      <c r="M41" s="24" t="inlineStr">
        <is>
          <t xml:space="preserve">observed core increment; not a fitted mean</t>
        </is>
      </c>
      <c r="N41" s="26">
        <v>1.0</v>
      </c>
    </row>
    <row r="42" ht="24" customHeight="1">
      <c r="A42" s="24" t="inlineStr">
        <is>
          <t xml:space="preserve">orchards</t>
        </is>
      </c>
      <c r="B42" s="24" t="inlineStr">
        <is>
          <t xml:space="preserve">20-year-old orchard</t>
        </is>
      </c>
      <c r="C42" s="26">
        <v>142.0</v>
      </c>
      <c r="D42" s="24" t="inlineStr">
        <is>
          <t xml:space="preserve">142_MAS2_3_A1</t>
        </is>
      </c>
      <c r="E42" s="24" t="inlineStr">
        <is>
          <t xml:space="preserve">MAS2.3</t>
        </is>
      </c>
      <c r="F42" s="24" t="inlineStr">
        <is>
          <t xml:space="preserve">0-10</t>
        </is>
      </c>
      <c r="G42" s="26">
        <v>0.0</v>
      </c>
      <c r="H42" s="26">
        <v>10.0</v>
      </c>
      <c r="I42" s="25">
        <v>114.009182796937</v>
      </c>
      <c r="J42" s="25">
        <v>0.032399999999999984</v>
      </c>
      <c r="K42" s="25">
        <v>0.2841876347601577</v>
      </c>
      <c r="L42" s="26">
        <v>0.0</v>
      </c>
      <c r="M42" s="24" t="inlineStr">
        <is>
          <t xml:space="preserve">observed core increment; not a fitted mean</t>
        </is>
      </c>
      <c r="N42" s="26">
        <v>2.0</v>
      </c>
    </row>
    <row r="43" ht="24" customHeight="1">
      <c r="A43" s="24" t="inlineStr">
        <is>
          <t xml:space="preserve">orchards</t>
        </is>
      </c>
      <c r="B43" s="24" t="inlineStr">
        <is>
          <t xml:space="preserve">20-year-old orchard</t>
        </is>
      </c>
      <c r="C43" s="26">
        <v>143.0</v>
      </c>
      <c r="D43" s="24" t="inlineStr">
        <is>
          <t xml:space="preserve">143_MAS2_3_A2</t>
        </is>
      </c>
      <c r="E43" s="24" t="inlineStr">
        <is>
          <t xml:space="preserve">MAS2.3</t>
        </is>
      </c>
      <c r="F43" s="24" t="inlineStr">
        <is>
          <t xml:space="preserve">10-20</t>
        </is>
      </c>
      <c r="G43" s="26">
        <v>10.0</v>
      </c>
      <c r="H43" s="26">
        <v>20.0</v>
      </c>
      <c r="I43" s="25">
        <v>114.009182796937</v>
      </c>
      <c r="J43" s="25">
        <v>0.0086</v>
      </c>
      <c r="K43" s="25">
        <v>0.07543252033757275</v>
      </c>
      <c r="L43" s="26">
        <v>0.0</v>
      </c>
      <c r="M43" s="24" t="inlineStr">
        <is>
          <t xml:space="preserve">observed core increment; not a fitted mean</t>
        </is>
      </c>
      <c r="N43" s="26">
        <v>2.0</v>
      </c>
    </row>
    <row r="44" ht="24" customHeight="1">
      <c r="A44" s="24" t="inlineStr">
        <is>
          <t xml:space="preserve">orchards</t>
        </is>
      </c>
      <c r="B44" s="24" t="inlineStr">
        <is>
          <t xml:space="preserve">20-year-old orchard</t>
        </is>
      </c>
      <c r="C44" s="26">
        <v>144.0</v>
      </c>
      <c r="D44" s="24" t="inlineStr">
        <is>
          <t xml:space="preserve">144_MAS2_3_A3</t>
        </is>
      </c>
      <c r="E44" s="24" t="inlineStr">
        <is>
          <t xml:space="preserve">MAS2.3</t>
        </is>
      </c>
      <c r="F44" s="24" t="inlineStr">
        <is>
          <t xml:space="preserve">20-50</t>
        </is>
      </c>
      <c r="G44" s="26">
        <v>20.0</v>
      </c>
      <c r="H44" s="26">
        <v>50.0</v>
      </c>
      <c r="I44" s="25">
        <v>342.027548390811</v>
      </c>
      <c r="J44" s="25">
        <v>0.0</v>
      </c>
      <c r="K44" s="25">
        <v>0.0</v>
      </c>
      <c r="L44" s="26">
        <v>0.0</v>
      </c>
      <c r="M44" s="24" t="inlineStr">
        <is>
          <t xml:space="preserve">observed core increment; not a fitted mean</t>
        </is>
      </c>
      <c r="N44" s="26">
        <v>2.0</v>
      </c>
    </row>
    <row r="45" ht="24" customHeight="1">
      <c r="A45" s="24" t="inlineStr">
        <is>
          <t xml:space="preserve">orchards</t>
        </is>
      </c>
      <c r="B45" s="24" t="inlineStr">
        <is>
          <t xml:space="preserve">20-year-old orchard</t>
        </is>
      </c>
      <c r="C45" s="26">
        <v>145.0</v>
      </c>
      <c r="D45" s="24" t="inlineStr">
        <is>
          <t xml:space="preserve">145_MAS2_3_A4</t>
        </is>
      </c>
      <c r="E45" s="24" t="inlineStr">
        <is>
          <t xml:space="preserve">MAS2.3</t>
        </is>
      </c>
      <c r="F45" s="24" t="inlineStr">
        <is>
          <t xml:space="preserve">50-75</t>
        </is>
      </c>
      <c r="G45" s="26">
        <v>50.0</v>
      </c>
      <c r="H45" s="26">
        <v>75.0</v>
      </c>
      <c r="I45" s="25">
        <v>285.0229569923425</v>
      </c>
      <c r="J45" s="25">
        <v>0.00039999999999995595</v>
      </c>
      <c r="K45" s="25">
        <v>0.0014033957272105014</v>
      </c>
      <c r="L45" s="26">
        <v>0.0</v>
      </c>
      <c r="M45" s="24" t="inlineStr">
        <is>
          <t xml:space="preserve">observed core increment; not a fitted mean</t>
        </is>
      </c>
      <c r="N45" s="26">
        <v>2.0</v>
      </c>
    </row>
    <row r="46" ht="24" customHeight="1">
      <c r="A46" s="24" t="inlineStr">
        <is>
          <t xml:space="preserve">orchards</t>
        </is>
      </c>
      <c r="B46" s="24" t="inlineStr">
        <is>
          <t xml:space="preserve">20-year-old orchard</t>
        </is>
      </c>
      <c r="C46" s="26">
        <v>162.0</v>
      </c>
      <c r="D46" s="24" t="inlineStr">
        <is>
          <t xml:space="preserve">162_MAS2_5_A1</t>
        </is>
      </c>
      <c r="E46" s="24" t="inlineStr">
        <is>
          <t xml:space="preserve">MAS2.5</t>
        </is>
      </c>
      <c r="F46" s="24" t="inlineStr">
        <is>
          <t xml:space="preserve">0-10</t>
        </is>
      </c>
      <c r="G46" s="26">
        <v>0.0</v>
      </c>
      <c r="H46" s="26">
        <v>10.0</v>
      </c>
      <c r="I46" s="25">
        <v>114.009182796937</v>
      </c>
      <c r="J46" s="25">
        <v>0.038799999999999946</v>
      </c>
      <c r="K46" s="25">
        <v>0.3403234638485836</v>
      </c>
      <c r="L46" s="26">
        <v>0.0</v>
      </c>
      <c r="M46" s="24" t="inlineStr">
        <is>
          <t xml:space="preserve">observed core increment; not a fitted mean</t>
        </is>
      </c>
      <c r="N46" s="26">
        <v>3.0</v>
      </c>
    </row>
    <row r="47" ht="24" customHeight="1">
      <c r="A47" s="24" t="inlineStr">
        <is>
          <t xml:space="preserve">orchards</t>
        </is>
      </c>
      <c r="B47" s="24" t="inlineStr">
        <is>
          <t xml:space="preserve">20-year-old orchard</t>
        </is>
      </c>
      <c r="C47" s="26">
        <v>163.0</v>
      </c>
      <c r="D47" s="24" t="inlineStr">
        <is>
          <t xml:space="preserve">163_MAS2_5_A2</t>
        </is>
      </c>
      <c r="E47" s="24" t="inlineStr">
        <is>
          <t xml:space="preserve">MAS2.5</t>
        </is>
      </c>
      <c r="F47" s="24" t="inlineStr">
        <is>
          <t xml:space="preserve">10-20</t>
        </is>
      </c>
      <c r="G47" s="26">
        <v>10.0</v>
      </c>
      <c r="H47" s="26">
        <v>20.0</v>
      </c>
      <c r="I47" s="25">
        <v>114.009182796937</v>
      </c>
      <c r="J47" s="25">
        <v>0.0484</v>
      </c>
      <c r="K47" s="25">
        <v>0.4245272074812234</v>
      </c>
      <c r="L47" s="26">
        <v>0.0</v>
      </c>
      <c r="M47" s="24" t="inlineStr">
        <is>
          <t xml:space="preserve">observed core increment; not a fitted mean</t>
        </is>
      </c>
      <c r="N47" s="26">
        <v>3.0</v>
      </c>
    </row>
    <row r="48" ht="24" customHeight="1">
      <c r="A48" s="24" t="inlineStr">
        <is>
          <t xml:space="preserve">orchards</t>
        </is>
      </c>
      <c r="B48" s="24" t="inlineStr">
        <is>
          <t xml:space="preserve">20-year-old orchard</t>
        </is>
      </c>
      <c r="C48" s="26">
        <v>164.0</v>
      </c>
      <c r="D48" s="24" t="inlineStr">
        <is>
          <t xml:space="preserve">164_MAS2_5_A3</t>
        </is>
      </c>
      <c r="E48" s="24" t="inlineStr">
        <is>
          <t xml:space="preserve">MAS2.5</t>
        </is>
      </c>
      <c r="F48" s="24" t="inlineStr">
        <is>
          <t xml:space="preserve">20-50</t>
        </is>
      </c>
      <c r="G48" s="26">
        <v>20.0</v>
      </c>
      <c r="H48" s="26">
        <v>50.0</v>
      </c>
      <c r="I48" s="25">
        <v>342.027548390811</v>
      </c>
      <c r="J48" s="25">
        <v>0.01869999999999994</v>
      </c>
      <c r="K48" s="25">
        <v>0.054673958539248294</v>
      </c>
      <c r="L48" s="26">
        <v>0.0</v>
      </c>
      <c r="M48" s="24" t="inlineStr">
        <is>
          <t xml:space="preserve">observed core increment; not a fitted mean</t>
        </is>
      </c>
      <c r="N48" s="26">
        <v>3.0</v>
      </c>
    </row>
    <row r="49" ht="24" customHeight="1">
      <c r="A49" s="24" t="inlineStr">
        <is>
          <t xml:space="preserve">orchards</t>
        </is>
      </c>
      <c r="B49" s="24" t="inlineStr">
        <is>
          <t xml:space="preserve">20-year-old orchard</t>
        </is>
      </c>
      <c r="C49" s="26">
        <v>165.0</v>
      </c>
      <c r="D49" s="24" t="inlineStr">
        <is>
          <t xml:space="preserve">165_MAS2_5_A4</t>
        </is>
      </c>
      <c r="E49" s="24" t="inlineStr">
        <is>
          <t xml:space="preserve">MAS2.5</t>
        </is>
      </c>
      <c r="F49" s="24" t="inlineStr">
        <is>
          <t xml:space="preserve">50-75</t>
        </is>
      </c>
      <c r="G49" s="26">
        <v>50.0</v>
      </c>
      <c r="H49" s="26">
        <v>75.0</v>
      </c>
      <c r="I49" s="25">
        <v>285.0229569923425</v>
      </c>
      <c r="J49" s="25">
        <v>0.03499999999999992</v>
      </c>
      <c r="K49" s="25">
        <v>0.12279712613093213</v>
      </c>
      <c r="L49" s="26">
        <v>0.0</v>
      </c>
      <c r="M49" s="24" t="inlineStr">
        <is>
          <t xml:space="preserve">observed core increment; not a fitted mean</t>
        </is>
      </c>
      <c r="N49" s="26">
        <v>3.0</v>
      </c>
    </row>
    <row r="50" ht="24" customHeight="1">
      <c r="A50" s="24" t="inlineStr">
        <is>
          <t xml:space="preserve">orchards</t>
        </is>
      </c>
      <c r="B50" s="24" t="inlineStr">
        <is>
          <t xml:space="preserve">60-year-old orchard</t>
        </is>
      </c>
      <c r="C50" s="26">
        <v>67.0</v>
      </c>
      <c r="D50" s="24" t="inlineStr">
        <is>
          <t xml:space="preserve">67_MAS1_1_A1</t>
        </is>
      </c>
      <c r="E50" s="24" t="inlineStr">
        <is>
          <t xml:space="preserve">MAS1.1</t>
        </is>
      </c>
      <c r="F50" s="24" t="inlineStr">
        <is>
          <t xml:space="preserve">0-10</t>
        </is>
      </c>
      <c r="G50" s="26">
        <v>0.0</v>
      </c>
      <c r="H50" s="26">
        <v>10.0</v>
      </c>
      <c r="I50" s="25">
        <v>114.009182796937</v>
      </c>
      <c r="J50" s="25">
        <v>0.08079999999999998</v>
      </c>
      <c r="K50" s="25">
        <v>0.708714842241381</v>
      </c>
      <c r="L50" s="26">
        <v>0.0</v>
      </c>
      <c r="M50" s="24" t="inlineStr">
        <is>
          <t xml:space="preserve">observed core increment; not a fitted mean</t>
        </is>
      </c>
      <c r="N50" s="26">
        <v>1.0</v>
      </c>
    </row>
    <row r="51" ht="24" customHeight="1">
      <c r="A51" s="24" t="inlineStr">
        <is>
          <t xml:space="preserve">orchards</t>
        </is>
      </c>
      <c r="B51" s="24" t="inlineStr">
        <is>
          <t xml:space="preserve">60-year-old orchard</t>
        </is>
      </c>
      <c r="C51" s="26">
        <v>68.0</v>
      </c>
      <c r="D51" s="24" t="inlineStr">
        <is>
          <t xml:space="preserve">68_MAS1_1_A2</t>
        </is>
      </c>
      <c r="E51" s="24" t="inlineStr">
        <is>
          <t xml:space="preserve">MAS1.1</t>
        </is>
      </c>
      <c r="F51" s="24" t="inlineStr">
        <is>
          <t xml:space="preserve">10-20</t>
        </is>
      </c>
      <c r="G51" s="26">
        <v>10.0</v>
      </c>
      <c r="H51" s="26">
        <v>20.0</v>
      </c>
      <c r="I51" s="25">
        <v>114.009182796937</v>
      </c>
      <c r="J51" s="25">
        <v>0.009300000000000086</v>
      </c>
      <c r="K51" s="25">
        <v>0.08157237664412013</v>
      </c>
      <c r="L51" s="26">
        <v>0.0</v>
      </c>
      <c r="M51" s="24" t="inlineStr">
        <is>
          <t xml:space="preserve">observed core increment; not a fitted mean</t>
        </is>
      </c>
      <c r="N51" s="26">
        <v>1.0</v>
      </c>
    </row>
    <row r="52" ht="24" customHeight="1">
      <c r="A52" s="24" t="inlineStr">
        <is>
          <t xml:space="preserve">orchards</t>
        </is>
      </c>
      <c r="B52" s="24" t="inlineStr">
        <is>
          <t xml:space="preserve">60-year-old orchard</t>
        </is>
      </c>
      <c r="C52" s="26">
        <v>69.0</v>
      </c>
      <c r="D52" s="24" t="inlineStr">
        <is>
          <t xml:space="preserve">69_MAS1_1_A3</t>
        </is>
      </c>
      <c r="E52" s="24" t="inlineStr">
        <is>
          <t xml:space="preserve">MAS1.1</t>
        </is>
      </c>
      <c r="F52" s="24" t="inlineStr">
        <is>
          <t xml:space="preserve">20-50</t>
        </is>
      </c>
      <c r="G52" s="26">
        <v>20.0</v>
      </c>
      <c r="H52" s="26">
        <v>50.0</v>
      </c>
      <c r="I52" s="25">
        <v>342.027548390811</v>
      </c>
      <c r="J52" s="25">
        <v>0.0035000000000000586</v>
      </c>
      <c r="K52" s="25">
        <v>0.010233093844244538</v>
      </c>
      <c r="L52" s="26">
        <v>0.0</v>
      </c>
      <c r="M52" s="24" t="inlineStr">
        <is>
          <t xml:space="preserve">observed core increment; not a fitted mean</t>
        </is>
      </c>
      <c r="N52" s="26">
        <v>1.0</v>
      </c>
    </row>
    <row r="53" ht="24" customHeight="1">
      <c r="A53" s="24" t="inlineStr">
        <is>
          <t xml:space="preserve">orchards</t>
        </is>
      </c>
      <c r="B53" s="24" t="inlineStr">
        <is>
          <t xml:space="preserve">60-year-old orchard</t>
        </is>
      </c>
      <c r="C53" s="26">
        <v>70.0</v>
      </c>
      <c r="D53" s="24" t="inlineStr">
        <is>
          <t xml:space="preserve">70_MAS1_1_A4</t>
        </is>
      </c>
      <c r="E53" s="24" t="inlineStr">
        <is>
          <t xml:space="preserve">MAS1.1</t>
        </is>
      </c>
      <c r="F53" s="24" t="inlineStr">
        <is>
          <t xml:space="preserve">50-75</t>
        </is>
      </c>
      <c r="G53" s="26">
        <v>50.0</v>
      </c>
      <c r="H53" s="26">
        <v>75.0</v>
      </c>
      <c r="I53" s="25">
        <v>285.0229569923425</v>
      </c>
      <c r="J53" s="25">
        <v>0.013500000000000068</v>
      </c>
      <c r="K53" s="25">
        <v>0.047364605793359875</v>
      </c>
      <c r="L53" s="26">
        <v>0.0</v>
      </c>
      <c r="M53" s="24" t="inlineStr">
        <is>
          <t xml:space="preserve">observed core increment; not a fitted mean</t>
        </is>
      </c>
      <c r="N53" s="26">
        <v>1.0</v>
      </c>
    </row>
    <row r="54" ht="24" customHeight="1">
      <c r="A54" s="24" t="inlineStr">
        <is>
          <t xml:space="preserve">orchards</t>
        </is>
      </c>
      <c r="B54" s="24" t="inlineStr">
        <is>
          <t xml:space="preserve">60-year-old orchard</t>
        </is>
      </c>
      <c r="C54" s="26">
        <v>87.0</v>
      </c>
      <c r="D54" s="24" t="inlineStr">
        <is>
          <t xml:space="preserve">87_MAS1_3_A1</t>
        </is>
      </c>
      <c r="E54" s="24" t="inlineStr">
        <is>
          <t xml:space="preserve">MAS1.3</t>
        </is>
      </c>
      <c r="F54" s="24" t="inlineStr">
        <is>
          <t xml:space="preserve">0-10</t>
        </is>
      </c>
      <c r="G54" s="26">
        <v>0.0</v>
      </c>
      <c r="H54" s="26">
        <v>10.0</v>
      </c>
      <c r="I54" s="25">
        <v>114.009182796937</v>
      </c>
      <c r="J54" s="25">
        <v>0.007200000000000095</v>
      </c>
      <c r="K54" s="25">
        <v>0.06315280772448036</v>
      </c>
      <c r="L54" s="26">
        <v>0.0</v>
      </c>
      <c r="M54" s="24" t="inlineStr">
        <is>
          <t xml:space="preserve">observed core increment; not a fitted mean</t>
        </is>
      </c>
      <c r="N54" s="26">
        <v>2.0</v>
      </c>
    </row>
    <row r="55" ht="24" customHeight="1">
      <c r="A55" s="24" t="inlineStr">
        <is>
          <t xml:space="preserve">orchards</t>
        </is>
      </c>
      <c r="B55" s="24" t="inlineStr">
        <is>
          <t xml:space="preserve">60-year-old orchard</t>
        </is>
      </c>
      <c r="C55" s="26">
        <v>88.0</v>
      </c>
      <c r="D55" s="24" t="inlineStr">
        <is>
          <t xml:space="preserve">88_MAS1_3_A2</t>
        </is>
      </c>
      <c r="E55" s="24" t="inlineStr">
        <is>
          <t xml:space="preserve">MAS1.3</t>
        </is>
      </c>
      <c r="F55" s="24" t="inlineStr">
        <is>
          <t xml:space="preserve">10-20</t>
        </is>
      </c>
      <c r="G55" s="26">
        <v>10.0</v>
      </c>
      <c r="H55" s="26">
        <v>20.0</v>
      </c>
      <c r="I55" s="25">
        <v>114.009182796937</v>
      </c>
      <c r="J55" s="25">
        <v>0.0005999999999999339</v>
      </c>
      <c r="K55" s="25">
        <v>0.00526273397703938</v>
      </c>
      <c r="L55" s="26">
        <v>0.0</v>
      </c>
      <c r="M55" s="24" t="inlineStr">
        <is>
          <t xml:space="preserve">observed core increment; not a fitted mean</t>
        </is>
      </c>
      <c r="N55" s="26">
        <v>2.0</v>
      </c>
    </row>
    <row r="56" ht="24" customHeight="1">
      <c r="A56" s="24" t="inlineStr">
        <is>
          <t xml:space="preserve">orchards</t>
        </is>
      </c>
      <c r="B56" s="24" t="inlineStr">
        <is>
          <t xml:space="preserve">60-year-old orchard</t>
        </is>
      </c>
      <c r="C56" s="26">
        <v>89.0</v>
      </c>
      <c r="D56" s="24" t="inlineStr">
        <is>
          <t xml:space="preserve">89_MAS1_3_A3</t>
        </is>
      </c>
      <c r="E56" s="24" t="inlineStr">
        <is>
          <t xml:space="preserve">MAS1.3</t>
        </is>
      </c>
      <c r="F56" s="24" t="inlineStr">
        <is>
          <t xml:space="preserve">20-50</t>
        </is>
      </c>
      <c r="G56" s="26">
        <v>20.0</v>
      </c>
      <c r="H56" s="26">
        <v>50.0</v>
      </c>
      <c r="I56" s="25">
        <v>342.027548390811</v>
      </c>
      <c r="J56" s="25">
        <v>0.0</v>
      </c>
      <c r="K56" s="25">
        <v>0.0</v>
      </c>
      <c r="L56" s="26">
        <v>0.0</v>
      </c>
      <c r="M56" s="24" t="inlineStr">
        <is>
          <t xml:space="preserve">observed core increment; not a fitted mean</t>
        </is>
      </c>
      <c r="N56" s="26">
        <v>2.0</v>
      </c>
    </row>
    <row r="57" ht="24" customHeight="1">
      <c r="A57" s="24" t="inlineStr">
        <is>
          <t xml:space="preserve">orchards</t>
        </is>
      </c>
      <c r="B57" s="24" t="inlineStr">
        <is>
          <t xml:space="preserve">60-year-old orchard</t>
        </is>
      </c>
      <c r="C57" s="26">
        <v>90.0</v>
      </c>
      <c r="D57" s="24" t="inlineStr">
        <is>
          <t xml:space="preserve">90_MAS1_3_A4</t>
        </is>
      </c>
      <c r="E57" s="24" t="inlineStr">
        <is>
          <t xml:space="preserve">MAS1.3</t>
        </is>
      </c>
      <c r="F57" s="24" t="inlineStr">
        <is>
          <t xml:space="preserve">50-75</t>
        </is>
      </c>
      <c r="G57" s="26">
        <v>50.0</v>
      </c>
      <c r="H57" s="26">
        <v>75.0</v>
      </c>
      <c r="I57" s="25">
        <v>285.0229569923425</v>
      </c>
      <c r="J57" s="25">
        <v>0.00019999999999997797</v>
      </c>
      <c r="K57" s="25">
        <v>0.0007016978636052507</v>
      </c>
      <c r="L57" s="26">
        <v>0.0</v>
      </c>
      <c r="M57" s="24" t="inlineStr">
        <is>
          <t xml:space="preserve">observed core increment; not a fitted mean</t>
        </is>
      </c>
      <c r="N57" s="26">
        <v>2.0</v>
      </c>
    </row>
    <row r="58" ht="24" customHeight="1">
      <c r="A58" s="24" t="inlineStr">
        <is>
          <t xml:space="preserve">orchards</t>
        </is>
      </c>
      <c r="B58" s="24" t="inlineStr">
        <is>
          <t xml:space="preserve">60-year-old orchard</t>
        </is>
      </c>
      <c r="C58" s="26">
        <v>107.0</v>
      </c>
      <c r="D58" s="24" t="inlineStr">
        <is>
          <t xml:space="preserve">107_MAS1_5_A1</t>
        </is>
      </c>
      <c r="E58" s="24" t="inlineStr">
        <is>
          <t xml:space="preserve">MAS1.5</t>
        </is>
      </c>
      <c r="F58" s="24" t="inlineStr">
        <is>
          <t xml:space="preserve">0-10</t>
        </is>
      </c>
      <c r="G58" s="26">
        <v>0.0</v>
      </c>
      <c r="H58" s="26">
        <v>10.0</v>
      </c>
      <c r="I58" s="25">
        <v>114.009182796937</v>
      </c>
      <c r="J58" s="25">
        <v>0.01980000000000004</v>
      </c>
      <c r="K58" s="25">
        <v>0.173670221242319</v>
      </c>
      <c r="L58" s="26">
        <v>0.0</v>
      </c>
      <c r="M58" s="24" t="inlineStr">
        <is>
          <t xml:space="preserve">observed core increment; not a fitted mean</t>
        </is>
      </c>
      <c r="N58" s="26">
        <v>3.0</v>
      </c>
    </row>
    <row r="59" ht="24" customHeight="1">
      <c r="A59" s="24" t="inlineStr">
        <is>
          <t xml:space="preserve">orchards</t>
        </is>
      </c>
      <c r="B59" s="24" t="inlineStr">
        <is>
          <t xml:space="preserve">60-year-old orchard</t>
        </is>
      </c>
      <c r="C59" s="26">
        <v>108.0</v>
      </c>
      <c r="D59" s="24" t="inlineStr">
        <is>
          <t xml:space="preserve">108_MAS1_5_A2</t>
        </is>
      </c>
      <c r="E59" s="24" t="inlineStr">
        <is>
          <t xml:space="preserve">MAS1.5</t>
        </is>
      </c>
      <c r="F59" s="24" t="inlineStr">
        <is>
          <t xml:space="preserve">10-20</t>
        </is>
      </c>
      <c r="G59" s="26">
        <v>10.0</v>
      </c>
      <c r="H59" s="26">
        <v>20.0</v>
      </c>
      <c r="I59" s="25">
        <v>114.009182796937</v>
      </c>
      <c r="J59" s="25">
        <v>0.0028999999999999027</v>
      </c>
      <c r="K59" s="25">
        <v>0.025436547555692284</v>
      </c>
      <c r="L59" s="26">
        <v>0.0</v>
      </c>
      <c r="M59" s="24" t="inlineStr">
        <is>
          <t xml:space="preserve">observed core increment; not a fitted mean</t>
        </is>
      </c>
      <c r="N59" s="26">
        <v>3.0</v>
      </c>
    </row>
    <row r="60" ht="24" customHeight="1">
      <c r="A60" s="24" t="inlineStr">
        <is>
          <t xml:space="preserve">orchards</t>
        </is>
      </c>
      <c r="B60" s="24" t="inlineStr">
        <is>
          <t xml:space="preserve">60-year-old orchard</t>
        </is>
      </c>
      <c r="C60" s="26">
        <v>109.0</v>
      </c>
      <c r="D60" s="24" t="inlineStr">
        <is>
          <t xml:space="preserve">109_MAS1_5_A3</t>
        </is>
      </c>
      <c r="E60" s="24" t="inlineStr">
        <is>
          <t xml:space="preserve">MAS1.5</t>
        </is>
      </c>
      <c r="F60" s="24" t="inlineStr">
        <is>
          <t xml:space="preserve">20-50</t>
        </is>
      </c>
      <c r="G60" s="26">
        <v>20.0</v>
      </c>
      <c r="H60" s="26">
        <v>50.0</v>
      </c>
      <c r="I60" s="25">
        <v>342.027548390811</v>
      </c>
      <c r="J60" s="25">
        <v>0.001100000000000101</v>
      </c>
      <c r="K60" s="25">
        <v>0.0032161152081913815</v>
      </c>
      <c r="L60" s="26">
        <v>0.0</v>
      </c>
      <c r="M60" s="24" t="inlineStr">
        <is>
          <t xml:space="preserve">observed core increment; not a fitted mean</t>
        </is>
      </c>
      <c r="N60" s="26">
        <v>3.0</v>
      </c>
    </row>
    <row r="61" ht="24" customHeight="1">
      <c r="A61" s="24" t="inlineStr">
        <is>
          <t xml:space="preserve">orchards</t>
        </is>
      </c>
      <c r="B61" s="24" t="inlineStr">
        <is>
          <t xml:space="preserve">60-year-old orchard</t>
        </is>
      </c>
      <c r="C61" s="26">
        <v>110.0</v>
      </c>
      <c r="D61" s="24" t="inlineStr">
        <is>
          <t xml:space="preserve">110_MAS1_5_A4</t>
        </is>
      </c>
      <c r="E61" s="24" t="inlineStr">
        <is>
          <t xml:space="preserve">MAS1.5</t>
        </is>
      </c>
      <c r="F61" s="24" t="inlineStr">
        <is>
          <t xml:space="preserve">50-75</t>
        </is>
      </c>
      <c r="G61" s="26">
        <v>50.0</v>
      </c>
      <c r="H61" s="26">
        <v>75.0</v>
      </c>
      <c r="I61" s="25">
        <v>285.0229569923425</v>
      </c>
      <c r="J61" s="25">
        <v>0.0</v>
      </c>
      <c r="K61" s="25">
        <v>0.0</v>
      </c>
      <c r="L61" s="26">
        <v>0.0</v>
      </c>
      <c r="M61" s="24" t="inlineStr">
        <is>
          <t xml:space="preserve">observed core increment; not a fitted mean</t>
        </is>
      </c>
      <c r="N61" s="26">
        <v>3.0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FormatPr defaultRowHeight="15"/>
  <cols>
    <col min="1" max="1" width="16" hidden="0" customWidth="1"/>
    <col min="2" max="2" width="25" hidden="0" customWidth="1"/>
    <col min="3" max="3" width="22" hidden="0" customWidth="1"/>
    <col min="4" max="4" width="25" hidden="0" customWidth="1"/>
    <col min="5" max="5" width="14" hidden="0" customWidth="1"/>
    <col min="6" max="6" width="22" hidden="0" customWidth="1"/>
    <col min="7" max="7" width="22" hidden="0" customWidth="1"/>
    <col min="8" max="8" width="22" hidden="0" customWidth="1"/>
    <col min="9" max="9" width="22" hidden="0" customWidth="1"/>
    <col min="10" max="10" width="22" hidden="0" customWidth="1"/>
    <col min="11" max="11" width="46" hidden="0" customWidth="1"/>
    <col min="12" max="12" width="22" hidden="0" customWidth="1"/>
  </cols>
  <sheetData>
    <row r="1" ht="42" customHeight="1">
      <c r="A1" s="23" t="inlineStr">
        <is>
          <t xml:space="preserve">system</t>
        </is>
      </c>
      <c r="B1" s="23" t="inlineStr">
        <is>
          <t xml:space="preserve">management</t>
        </is>
      </c>
      <c r="C1" s="23" t="inlineStr">
        <is>
          <t xml:space="preserve">sample_id</t>
        </is>
      </c>
      <c r="D1" s="23" t="inlineStr">
        <is>
          <t xml:space="preserve">sample_code</t>
        </is>
      </c>
      <c r="E1" s="23" t="inlineStr">
        <is>
          <t xml:space="preserve">core</t>
        </is>
      </c>
      <c r="F1" s="23" t="inlineStr">
        <is>
          <t xml:space="preserve">depth_interval_cm</t>
        </is>
      </c>
      <c r="G1" s="23" t="inlineStr">
        <is>
          <t xml:space="preserve">depth_top_cm</t>
        </is>
      </c>
      <c r="H1" s="23" t="inlineStr">
        <is>
          <t xml:space="preserve">depth_bottom_cm</t>
        </is>
      </c>
      <c r="I1" s="23" t="inlineStr">
        <is>
          <t xml:space="preserve">layer_c_stock_t_C_ha</t>
        </is>
      </c>
      <c r="J1" s="23" t="inlineStr">
        <is>
          <t xml:space="preserve">cumulative_c_stock_t_C_ha</t>
        </is>
      </c>
      <c r="K1" s="23" t="inlineStr">
        <is>
          <t xml:space="preserve">value_role</t>
        </is>
      </c>
      <c r="L1" s="23" t="inlineStr">
        <is>
          <t xml:space="preserve">profile_symbol_index</t>
        </is>
      </c>
    </row>
    <row r="2" ht="24" customHeight="1">
      <c r="A2" s="24" t="inlineStr">
        <is>
          <t xml:space="preserve">orchards</t>
        </is>
      </c>
      <c r="B2" s="24" t="inlineStr">
        <is>
          <t xml:space="preserve">20-year-old orchard</t>
        </is>
      </c>
      <c r="C2" s="26">
        <v>122.0</v>
      </c>
      <c r="D2" s="24" t="inlineStr">
        <is>
          <t xml:space="preserve">122_MAS2_1_A1</t>
        </is>
      </c>
      <c r="E2" s="24" t="inlineStr">
        <is>
          <t xml:space="preserve">MAS2.1</t>
        </is>
      </c>
      <c r="F2" s="24" t="inlineStr">
        <is>
          <t xml:space="preserve">0-10</t>
        </is>
      </c>
      <c r="G2" s="26">
        <v>0.0</v>
      </c>
      <c r="H2" s="26">
        <v>10.0</v>
      </c>
      <c r="I2" s="25">
        <v>10.099708533512864</v>
      </c>
      <c r="J2" s="25">
        <v>10.099708533512864</v>
      </c>
      <c r="K2" s="24" t="inlineStr">
        <is>
          <t xml:space="preserve">observed cumulative core stock; not a fitted mean</t>
        </is>
      </c>
      <c r="L2" s="26">
        <v>1.0</v>
      </c>
    </row>
    <row r="3" ht="24" customHeight="1">
      <c r="A3" s="24" t="inlineStr">
        <is>
          <t xml:space="preserve">orchards</t>
        </is>
      </c>
      <c r="B3" s="24" t="inlineStr">
        <is>
          <t xml:space="preserve">20-year-old orchard</t>
        </is>
      </c>
      <c r="C3" s="26">
        <v>123.0</v>
      </c>
      <c r="D3" s="24" t="inlineStr">
        <is>
          <t xml:space="preserve">123_MAS2_1_A2</t>
        </is>
      </c>
      <c r="E3" s="24" t="inlineStr">
        <is>
          <t xml:space="preserve">MAS2.1</t>
        </is>
      </c>
      <c r="F3" s="24" t="inlineStr">
        <is>
          <t xml:space="preserve">10-20</t>
        </is>
      </c>
      <c r="G3" s="26">
        <v>10.0</v>
      </c>
      <c r="H3" s="26">
        <v>20.0</v>
      </c>
      <c r="I3" s="25">
        <v>2.592781830503839</v>
      </c>
      <c r="J3" s="25">
        <v>12.692490364016702</v>
      </c>
      <c r="K3" s="24" t="inlineStr">
        <is>
          <t xml:space="preserve">observed cumulative core stock; not a fitted mean</t>
        </is>
      </c>
      <c r="L3" s="26">
        <v>1.0</v>
      </c>
    </row>
    <row r="4" ht="24" customHeight="1">
      <c r="A4" s="24" t="inlineStr">
        <is>
          <t xml:space="preserve">orchards</t>
        </is>
      </c>
      <c r="B4" s="24" t="inlineStr">
        <is>
          <t xml:space="preserve">20-year-old orchard</t>
        </is>
      </c>
      <c r="C4" s="26">
        <v>124.0</v>
      </c>
      <c r="D4" s="24" t="inlineStr">
        <is>
          <t xml:space="preserve">124_MAS2_1_A3</t>
        </is>
      </c>
      <c r="E4" s="24" t="inlineStr">
        <is>
          <t xml:space="preserve">MAS2.1</t>
        </is>
      </c>
      <c r="F4" s="24" t="inlineStr">
        <is>
          <t xml:space="preserve">20-50</t>
        </is>
      </c>
      <c r="G4" s="26">
        <v>20.0</v>
      </c>
      <c r="H4" s="26">
        <v>50.0</v>
      </c>
      <c r="I4" s="25">
        <v>5.024074092527139</v>
      </c>
      <c r="J4" s="25">
        <v>17.716564456543843</v>
      </c>
      <c r="K4" s="24" t="inlineStr">
        <is>
          <t xml:space="preserve">observed cumulative core stock; not a fitted mean</t>
        </is>
      </c>
      <c r="L4" s="26">
        <v>1.0</v>
      </c>
    </row>
    <row r="5" ht="24" customHeight="1">
      <c r="A5" s="24" t="inlineStr">
        <is>
          <t xml:space="preserve">orchards</t>
        </is>
      </c>
      <c r="B5" s="24" t="inlineStr">
        <is>
          <t xml:space="preserve">20-year-old orchard</t>
        </is>
      </c>
      <c r="C5" s="26">
        <v>125.0</v>
      </c>
      <c r="D5" s="24" t="inlineStr">
        <is>
          <t xml:space="preserve">125_MAS2_1_A4</t>
        </is>
      </c>
      <c r="E5" s="24" t="inlineStr">
        <is>
          <t xml:space="preserve">MAS2.1</t>
        </is>
      </c>
      <c r="F5" s="24" t="inlineStr">
        <is>
          <t xml:space="preserve">50-75</t>
        </is>
      </c>
      <c r="G5" s="26">
        <v>50.0</v>
      </c>
      <c r="H5" s="26">
        <v>75.0</v>
      </c>
      <c r="I5" s="25">
        <v>5.7627713159400145</v>
      </c>
      <c r="J5" s="25">
        <v>23.479335772483857</v>
      </c>
      <c r="K5" s="24" t="inlineStr">
        <is>
          <t xml:space="preserve">observed cumulative core stock; not a fitted mean</t>
        </is>
      </c>
      <c r="L5" s="26">
        <v>1.0</v>
      </c>
    </row>
    <row r="6" ht="24" customHeight="1">
      <c r="A6" s="24" t="inlineStr">
        <is>
          <t xml:space="preserve">orchards</t>
        </is>
      </c>
      <c r="B6" s="24" t="inlineStr">
        <is>
          <t xml:space="preserve">20-year-old orchard</t>
        </is>
      </c>
      <c r="C6" s="26">
        <v>142.0</v>
      </c>
      <c r="D6" s="24" t="inlineStr">
        <is>
          <t xml:space="preserve">142_MAS2_3_A1</t>
        </is>
      </c>
      <c r="E6" s="24" t="inlineStr">
        <is>
          <t xml:space="preserve">MAS2.3</t>
        </is>
      </c>
      <c r="F6" s="24" t="inlineStr">
        <is>
          <t xml:space="preserve">0-10</t>
        </is>
      </c>
      <c r="G6" s="26">
        <v>0.0</v>
      </c>
      <c r="H6" s="26">
        <v>10.0</v>
      </c>
      <c r="I6" s="25">
        <v>9.912078658904356</v>
      </c>
      <c r="J6" s="25">
        <v>9.912078658904356</v>
      </c>
      <c r="K6" s="24" t="inlineStr">
        <is>
          <t xml:space="preserve">observed cumulative core stock; not a fitted mean</t>
        </is>
      </c>
      <c r="L6" s="26">
        <v>2.0</v>
      </c>
    </row>
    <row r="7" ht="24" customHeight="1">
      <c r="A7" s="24" t="inlineStr">
        <is>
          <t xml:space="preserve">orchards</t>
        </is>
      </c>
      <c r="B7" s="24" t="inlineStr">
        <is>
          <t xml:space="preserve">20-year-old orchard</t>
        </is>
      </c>
      <c r="C7" s="26">
        <v>143.0</v>
      </c>
      <c r="D7" s="24" t="inlineStr">
        <is>
          <t xml:space="preserve">143_MAS2_3_A2</t>
        </is>
      </c>
      <c r="E7" s="24" t="inlineStr">
        <is>
          <t xml:space="preserve">MAS2.3</t>
        </is>
      </c>
      <c r="F7" s="24" t="inlineStr">
        <is>
          <t xml:space="preserve">10-20</t>
        </is>
      </c>
      <c r="G7" s="26">
        <v>10.0</v>
      </c>
      <c r="H7" s="26">
        <v>20.0</v>
      </c>
      <c r="I7" s="25">
        <v>4.866954188611068</v>
      </c>
      <c r="J7" s="25">
        <v>14.779032847515424</v>
      </c>
      <c r="K7" s="24" t="inlineStr">
        <is>
          <t xml:space="preserve">observed cumulative core stock; not a fitted mean</t>
        </is>
      </c>
      <c r="L7" s="26">
        <v>2.0</v>
      </c>
    </row>
    <row r="8" ht="24" customHeight="1">
      <c r="A8" s="24" t="inlineStr">
        <is>
          <t xml:space="preserve">orchards</t>
        </is>
      </c>
      <c r="B8" s="24" t="inlineStr">
        <is>
          <t xml:space="preserve">20-year-old orchard</t>
        </is>
      </c>
      <c r="C8" s="26">
        <v>144.0</v>
      </c>
      <c r="D8" s="24" t="inlineStr">
        <is>
          <t xml:space="preserve">144_MAS2_3_A3</t>
        </is>
      </c>
      <c r="E8" s="24" t="inlineStr">
        <is>
          <t xml:space="preserve">MAS2.3</t>
        </is>
      </c>
      <c r="F8" s="24" t="inlineStr">
        <is>
          <t xml:space="preserve">20-50</t>
        </is>
      </c>
      <c r="G8" s="26">
        <v>20.0</v>
      </c>
      <c r="H8" s="26">
        <v>50.0</v>
      </c>
      <c r="I8" s="25">
        <v>6.668785286565528</v>
      </c>
      <c r="J8" s="25">
        <v>21.447818134080954</v>
      </c>
      <c r="K8" s="24" t="inlineStr">
        <is>
          <t xml:space="preserve">observed cumulative core stock; not a fitted mean</t>
        </is>
      </c>
      <c r="L8" s="26">
        <v>2.0</v>
      </c>
    </row>
    <row r="9" ht="24" customHeight="1">
      <c r="A9" s="24" t="inlineStr">
        <is>
          <t xml:space="preserve">orchards</t>
        </is>
      </c>
      <c r="B9" s="24" t="inlineStr">
        <is>
          <t xml:space="preserve">20-year-old orchard</t>
        </is>
      </c>
      <c r="C9" s="26">
        <v>145.0</v>
      </c>
      <c r="D9" s="24" t="inlineStr">
        <is>
          <t xml:space="preserve">145_MAS2_3_A4</t>
        </is>
      </c>
      <c r="E9" s="24" t="inlineStr">
        <is>
          <t xml:space="preserve">MAS2.3</t>
        </is>
      </c>
      <c r="F9" s="24" t="inlineStr">
        <is>
          <t xml:space="preserve">50-75</t>
        </is>
      </c>
      <c r="G9" s="26">
        <v>50.0</v>
      </c>
      <c r="H9" s="26">
        <v>75.0</v>
      </c>
      <c r="I9" s="25">
        <v>3.699883908951993</v>
      </c>
      <c r="J9" s="25">
        <v>25.147702043032947</v>
      </c>
      <c r="K9" s="24" t="inlineStr">
        <is>
          <t xml:space="preserve">observed cumulative core stock; not a fitted mean</t>
        </is>
      </c>
      <c r="L9" s="26">
        <v>2.0</v>
      </c>
    </row>
    <row r="10" ht="24" customHeight="1">
      <c r="A10" s="24" t="inlineStr">
        <is>
          <t xml:space="preserve">orchards</t>
        </is>
      </c>
      <c r="B10" s="24" t="inlineStr">
        <is>
          <t xml:space="preserve">20-year-old orchard</t>
        </is>
      </c>
      <c r="C10" s="26">
        <v>162.0</v>
      </c>
      <c r="D10" s="24" t="inlineStr">
        <is>
          <t xml:space="preserve">162_MAS2_5_A1</t>
        </is>
      </c>
      <c r="E10" s="24" t="inlineStr">
        <is>
          <t xml:space="preserve">MAS2.5</t>
        </is>
      </c>
      <c r="F10" s="24" t="inlineStr">
        <is>
          <t xml:space="preserve">0-10</t>
        </is>
      </c>
      <c r="G10" s="26">
        <v>0.0</v>
      </c>
      <c r="H10" s="26">
        <v>10.0</v>
      </c>
      <c r="I10" s="25">
        <v>8.701223819746659</v>
      </c>
      <c r="J10" s="25">
        <v>8.701223819746659</v>
      </c>
      <c r="K10" s="24" t="inlineStr">
        <is>
          <t xml:space="preserve">observed cumulative core stock; not a fitted mean</t>
        </is>
      </c>
      <c r="L10" s="26">
        <v>3.0</v>
      </c>
    </row>
    <row r="11" ht="24" customHeight="1">
      <c r="A11" s="24" t="inlineStr">
        <is>
          <t xml:space="preserve">orchards</t>
        </is>
      </c>
      <c r="B11" s="24" t="inlineStr">
        <is>
          <t xml:space="preserve">20-year-old orchard</t>
        </is>
      </c>
      <c r="C11" s="26">
        <v>163.0</v>
      </c>
      <c r="D11" s="24" t="inlineStr">
        <is>
          <t xml:space="preserve">163_MAS2_5_A2</t>
        </is>
      </c>
      <c r="E11" s="24" t="inlineStr">
        <is>
          <t xml:space="preserve">MAS2.5</t>
        </is>
      </c>
      <c r="F11" s="24" t="inlineStr">
        <is>
          <t xml:space="preserve">10-20</t>
        </is>
      </c>
      <c r="G11" s="26">
        <v>10.0</v>
      </c>
      <c r="H11" s="26">
        <v>20.0</v>
      </c>
      <c r="I11" s="25">
        <v>5.256146782386075</v>
      </c>
      <c r="J11" s="25">
        <v>13.957370602132734</v>
      </c>
      <c r="K11" s="24" t="inlineStr">
        <is>
          <t xml:space="preserve">observed cumulative core stock; not a fitted mean</t>
        </is>
      </c>
      <c r="L11" s="26">
        <v>3.0</v>
      </c>
    </row>
    <row r="12" ht="24" customHeight="1">
      <c r="A12" s="24" t="inlineStr">
        <is>
          <t xml:space="preserve">orchards</t>
        </is>
      </c>
      <c r="B12" s="24" t="inlineStr">
        <is>
          <t xml:space="preserve">20-year-old orchard</t>
        </is>
      </c>
      <c r="C12" s="26">
        <v>164.0</v>
      </c>
      <c r="D12" s="24" t="inlineStr">
        <is>
          <t xml:space="preserve">164_MAS2_5_A3</t>
        </is>
      </c>
      <c r="E12" s="24" t="inlineStr">
        <is>
          <t xml:space="preserve">MAS2.5</t>
        </is>
      </c>
      <c r="F12" s="24" t="inlineStr">
        <is>
          <t xml:space="preserve">20-50</t>
        </is>
      </c>
      <c r="G12" s="26">
        <v>20.0</v>
      </c>
      <c r="H12" s="26">
        <v>50.0</v>
      </c>
      <c r="I12" s="25">
        <v>8.5590820342949</v>
      </c>
      <c r="J12" s="25">
        <v>22.516452636427633</v>
      </c>
      <c r="K12" s="24" t="inlineStr">
        <is>
          <t xml:space="preserve">observed cumulative core stock; not a fitted mean</t>
        </is>
      </c>
      <c r="L12" s="26">
        <v>3.0</v>
      </c>
    </row>
    <row r="13" ht="24" customHeight="1">
      <c r="A13" s="24" t="inlineStr">
        <is>
          <t xml:space="preserve">orchards</t>
        </is>
      </c>
      <c r="B13" s="24" t="inlineStr">
        <is>
          <t xml:space="preserve">20-year-old orchard</t>
        </is>
      </c>
      <c r="C13" s="26">
        <v>165.0</v>
      </c>
      <c r="D13" s="24" t="inlineStr">
        <is>
          <t xml:space="preserve">165_MAS2_5_A4</t>
        </is>
      </c>
      <c r="E13" s="24" t="inlineStr">
        <is>
          <t xml:space="preserve">MAS2.5</t>
        </is>
      </c>
      <c r="F13" s="24" t="inlineStr">
        <is>
          <t xml:space="preserve">50-75</t>
        </is>
      </c>
      <c r="G13" s="26">
        <v>50.0</v>
      </c>
      <c r="H13" s="26">
        <v>75.0</v>
      </c>
      <c r="I13" s="25">
        <v>7.963765789723164</v>
      </c>
      <c r="J13" s="25">
        <v>30.4802184261508</v>
      </c>
      <c r="K13" s="24" t="inlineStr">
        <is>
          <t xml:space="preserve">observed cumulative core stock; not a fitted mean</t>
        </is>
      </c>
      <c r="L13" s="26">
        <v>3.0</v>
      </c>
    </row>
    <row r="14" ht="24" customHeight="1">
      <c r="A14" s="24" t="inlineStr">
        <is>
          <t xml:space="preserve">orchards</t>
        </is>
      </c>
      <c r="B14" s="24" t="inlineStr">
        <is>
          <t xml:space="preserve">60-year-old orchard</t>
        </is>
      </c>
      <c r="C14" s="26">
        <v>67.0</v>
      </c>
      <c r="D14" s="24" t="inlineStr">
        <is>
          <t xml:space="preserve">67_MAS1_1_A1</t>
        </is>
      </c>
      <c r="E14" s="24" t="inlineStr">
        <is>
          <t xml:space="preserve">MAS1.1</t>
        </is>
      </c>
      <c r="F14" s="24" t="inlineStr">
        <is>
          <t xml:space="preserve">0-10</t>
        </is>
      </c>
      <c r="G14" s="26">
        <v>0.0</v>
      </c>
      <c r="H14" s="26">
        <v>10.0</v>
      </c>
      <c r="I14" s="25">
        <v>13.942235754431298</v>
      </c>
      <c r="J14" s="25">
        <v>13.942235754431298</v>
      </c>
      <c r="K14" s="24" t="inlineStr">
        <is>
          <t xml:space="preserve">observed cumulative core stock; not a fitted mean</t>
        </is>
      </c>
      <c r="L14" s="26">
        <v>1.0</v>
      </c>
    </row>
    <row r="15" ht="24" customHeight="1">
      <c r="A15" s="24" t="inlineStr">
        <is>
          <t xml:space="preserve">orchards</t>
        </is>
      </c>
      <c r="B15" s="24" t="inlineStr">
        <is>
          <t xml:space="preserve">60-year-old orchard</t>
        </is>
      </c>
      <c r="C15" s="26">
        <v>68.0</v>
      </c>
      <c r="D15" s="24" t="inlineStr">
        <is>
          <t xml:space="preserve">68_MAS1_1_A2</t>
        </is>
      </c>
      <c r="E15" s="24" t="inlineStr">
        <is>
          <t xml:space="preserve">MAS1.1</t>
        </is>
      </c>
      <c r="F15" s="24" t="inlineStr">
        <is>
          <t xml:space="preserve">10-20</t>
        </is>
      </c>
      <c r="G15" s="26">
        <v>10.0</v>
      </c>
      <c r="H15" s="26">
        <v>20.0</v>
      </c>
      <c r="I15" s="25">
        <v>4.657823986393648</v>
      </c>
      <c r="J15" s="25">
        <v>18.600059740824946</v>
      </c>
      <c r="K15" s="24" t="inlineStr">
        <is>
          <t xml:space="preserve">observed cumulative core stock; not a fitted mean</t>
        </is>
      </c>
      <c r="L15" s="26">
        <v>1.0</v>
      </c>
    </row>
    <row r="16" ht="24" customHeight="1">
      <c r="A16" s="24" t="inlineStr">
        <is>
          <t xml:space="preserve">orchards</t>
        </is>
      </c>
      <c r="B16" s="24" t="inlineStr">
        <is>
          <t xml:space="preserve">60-year-old orchard</t>
        </is>
      </c>
      <c r="C16" s="26">
        <v>69.0</v>
      </c>
      <c r="D16" s="24" t="inlineStr">
        <is>
          <t xml:space="preserve">69_MAS1_1_A3</t>
        </is>
      </c>
      <c r="E16" s="24" t="inlineStr">
        <is>
          <t xml:space="preserve">MAS1.1</t>
        </is>
      </c>
      <c r="F16" s="24" t="inlineStr">
        <is>
          <t xml:space="preserve">20-50</t>
        </is>
      </c>
      <c r="G16" s="26">
        <v>20.0</v>
      </c>
      <c r="H16" s="26">
        <v>50.0</v>
      </c>
      <c r="I16" s="25">
        <v>3.927698987159346</v>
      </c>
      <c r="J16" s="25">
        <v>22.527758727984292</v>
      </c>
      <c r="K16" s="24" t="inlineStr">
        <is>
          <t xml:space="preserve">observed cumulative core stock; not a fitted mean</t>
        </is>
      </c>
      <c r="L16" s="26">
        <v>1.0</v>
      </c>
    </row>
    <row r="17" ht="24" customHeight="1">
      <c r="A17" s="24" t="inlineStr">
        <is>
          <t xml:space="preserve">orchards</t>
        </is>
      </c>
      <c r="B17" s="24" t="inlineStr">
        <is>
          <t xml:space="preserve">60-year-old orchard</t>
        </is>
      </c>
      <c r="C17" s="26">
        <v>70.0</v>
      </c>
      <c r="D17" s="24" t="inlineStr">
        <is>
          <t xml:space="preserve">70_MAS1_1_A4</t>
        </is>
      </c>
      <c r="E17" s="24" t="inlineStr">
        <is>
          <t xml:space="preserve">MAS1.1</t>
        </is>
      </c>
      <c r="F17" s="24" t="inlineStr">
        <is>
          <t xml:space="preserve">50-75</t>
        </is>
      </c>
      <c r="G17" s="26">
        <v>50.0</v>
      </c>
      <c r="H17" s="26">
        <v>75.0</v>
      </c>
      <c r="I17" s="25">
        <v>4.195297709431791</v>
      </c>
      <c r="J17" s="25">
        <v>26.723056437416083</v>
      </c>
      <c r="K17" s="24" t="inlineStr">
        <is>
          <t xml:space="preserve">observed cumulative core stock; not a fitted mean</t>
        </is>
      </c>
      <c r="L17" s="26">
        <v>1.0</v>
      </c>
    </row>
    <row r="18" ht="24" customHeight="1">
      <c r="A18" s="24" t="inlineStr">
        <is>
          <t xml:space="preserve">orchards</t>
        </is>
      </c>
      <c r="B18" s="24" t="inlineStr">
        <is>
          <t xml:space="preserve">60-year-old orchard</t>
        </is>
      </c>
      <c r="C18" s="26">
        <v>87.0</v>
      </c>
      <c r="D18" s="24" t="inlineStr">
        <is>
          <t xml:space="preserve">87_MAS1_3_A1</t>
        </is>
      </c>
      <c r="E18" s="24" t="inlineStr">
        <is>
          <t xml:space="preserve">MAS1.3</t>
        </is>
      </c>
      <c r="F18" s="24" t="inlineStr">
        <is>
          <t xml:space="preserve">0-10</t>
        </is>
      </c>
      <c r="G18" s="26">
        <v>0.0</v>
      </c>
      <c r="H18" s="26">
        <v>10.0</v>
      </c>
      <c r="I18" s="25">
        <v>6.721923919652653</v>
      </c>
      <c r="J18" s="25">
        <v>6.721923919652653</v>
      </c>
      <c r="K18" s="24" t="inlineStr">
        <is>
          <t xml:space="preserve">observed cumulative core stock; not a fitted mean</t>
        </is>
      </c>
      <c r="L18" s="26">
        <v>2.0</v>
      </c>
    </row>
    <row r="19" ht="24" customHeight="1">
      <c r="A19" s="24" t="inlineStr">
        <is>
          <t xml:space="preserve">orchards</t>
        </is>
      </c>
      <c r="B19" s="24" t="inlineStr">
        <is>
          <t xml:space="preserve">60-year-old orchard</t>
        </is>
      </c>
      <c r="C19" s="26">
        <v>88.0</v>
      </c>
      <c r="D19" s="24" t="inlineStr">
        <is>
          <t xml:space="preserve">88_MAS1_3_A2</t>
        </is>
      </c>
      <c r="E19" s="24" t="inlineStr">
        <is>
          <t xml:space="preserve">MAS1.3</t>
        </is>
      </c>
      <c r="F19" s="24" t="inlineStr">
        <is>
          <t xml:space="preserve">10-20</t>
        </is>
      </c>
      <c r="G19" s="26">
        <v>10.0</v>
      </c>
      <c r="H19" s="26">
        <v>20.0</v>
      </c>
      <c r="I19" s="25">
        <v>2.4240056107525336</v>
      </c>
      <c r="J19" s="25">
        <v>9.145929530405187</v>
      </c>
      <c r="K19" s="24" t="inlineStr">
        <is>
          <t xml:space="preserve">observed cumulative core stock; not a fitted mean</t>
        </is>
      </c>
      <c r="L19" s="26">
        <v>2.0</v>
      </c>
    </row>
    <row r="20" ht="24" customHeight="1">
      <c r="A20" s="24" t="inlineStr">
        <is>
          <t xml:space="preserve">orchards</t>
        </is>
      </c>
      <c r="B20" s="24" t="inlineStr">
        <is>
          <t xml:space="preserve">60-year-old orchard</t>
        </is>
      </c>
      <c r="C20" s="26">
        <v>89.0</v>
      </c>
      <c r="D20" s="24" t="inlineStr">
        <is>
          <t xml:space="preserve">89_MAS1_3_A3</t>
        </is>
      </c>
      <c r="E20" s="24" t="inlineStr">
        <is>
          <t xml:space="preserve">MAS1.3</t>
        </is>
      </c>
      <c r="F20" s="24" t="inlineStr">
        <is>
          <t xml:space="preserve">20-50</t>
        </is>
      </c>
      <c r="G20" s="26">
        <v>20.0</v>
      </c>
      <c r="H20" s="26">
        <v>50.0</v>
      </c>
      <c r="I20" s="25">
        <v>4.221816946904141</v>
      </c>
      <c r="J20" s="25">
        <v>13.367746477309328</v>
      </c>
      <c r="K20" s="24" t="inlineStr">
        <is>
          <t xml:space="preserve">observed cumulative core stock; not a fitted mean</t>
        </is>
      </c>
      <c r="L20" s="26">
        <v>2.0</v>
      </c>
    </row>
    <row r="21" ht="24" customHeight="1">
      <c r="A21" s="24" t="inlineStr">
        <is>
          <t xml:space="preserve">orchards</t>
        </is>
      </c>
      <c r="B21" s="24" t="inlineStr">
        <is>
          <t xml:space="preserve">60-year-old orchard</t>
        </is>
      </c>
      <c r="C21" s="26">
        <v>90.0</v>
      </c>
      <c r="D21" s="24" t="inlineStr">
        <is>
          <t xml:space="preserve">90_MAS1_3_A4</t>
        </is>
      </c>
      <c r="E21" s="24" t="inlineStr">
        <is>
          <t xml:space="preserve">MAS1.3</t>
        </is>
      </c>
      <c r="F21" s="24" t="inlineStr">
        <is>
          <t xml:space="preserve">50-75</t>
        </is>
      </c>
      <c r="G21" s="26">
        <v>50.0</v>
      </c>
      <c r="H21" s="26">
        <v>75.0</v>
      </c>
      <c r="I21" s="25">
        <v>2.7932302235559625</v>
      </c>
      <c r="J21" s="25">
        <v>16.16097670086529</v>
      </c>
      <c r="K21" s="24" t="inlineStr">
        <is>
          <t xml:space="preserve">observed cumulative core stock; not a fitted mean</t>
        </is>
      </c>
      <c r="L21" s="26">
        <v>2.0</v>
      </c>
    </row>
    <row r="22" ht="24" customHeight="1">
      <c r="A22" s="24" t="inlineStr">
        <is>
          <t xml:space="preserve">orchards</t>
        </is>
      </c>
      <c r="B22" s="24" t="inlineStr">
        <is>
          <t xml:space="preserve">60-year-old orchard</t>
        </is>
      </c>
      <c r="C22" s="26">
        <v>107.0</v>
      </c>
      <c r="D22" s="24" t="inlineStr">
        <is>
          <t xml:space="preserve">107_MAS1_5_A1</t>
        </is>
      </c>
      <c r="E22" s="24" t="inlineStr">
        <is>
          <t xml:space="preserve">MAS1.5</t>
        </is>
      </c>
      <c r="F22" s="24" t="inlineStr">
        <is>
          <t xml:space="preserve">0-10</t>
        </is>
      </c>
      <c r="G22" s="26">
        <v>0.0</v>
      </c>
      <c r="H22" s="26">
        <v>10.0</v>
      </c>
      <c r="I22" s="25">
        <v>16.60005071704035</v>
      </c>
      <c r="J22" s="25">
        <v>16.60005071704035</v>
      </c>
      <c r="K22" s="24" t="inlineStr">
        <is>
          <t xml:space="preserve">observed cumulative core stock; not a fitted mean</t>
        </is>
      </c>
      <c r="L22" s="26">
        <v>3.0</v>
      </c>
    </row>
    <row r="23" ht="24" customHeight="1">
      <c r="A23" s="24" t="inlineStr">
        <is>
          <t xml:space="preserve">orchards</t>
        </is>
      </c>
      <c r="B23" s="24" t="inlineStr">
        <is>
          <t xml:space="preserve">60-year-old orchard</t>
        </is>
      </c>
      <c r="C23" s="26">
        <v>108.0</v>
      </c>
      <c r="D23" s="24" t="inlineStr">
        <is>
          <t xml:space="preserve">108_MAS1_5_A2</t>
        </is>
      </c>
      <c r="E23" s="24" t="inlineStr">
        <is>
          <t xml:space="preserve">MAS1.5</t>
        </is>
      </c>
      <c r="F23" s="24" t="inlineStr">
        <is>
          <t xml:space="preserve">10-20</t>
        </is>
      </c>
      <c r="G23" s="26">
        <v>10.0</v>
      </c>
      <c r="H23" s="26">
        <v>20.0</v>
      </c>
      <c r="I23" s="25">
        <v>1.8573111002107658</v>
      </c>
      <c r="J23" s="25">
        <v>18.457361817251115</v>
      </c>
      <c r="K23" s="24" t="inlineStr">
        <is>
          <t xml:space="preserve">observed cumulative core stock; not a fitted mean</t>
        </is>
      </c>
      <c r="L23" s="26">
        <v>3.0</v>
      </c>
    </row>
    <row r="24" ht="24" customHeight="1">
      <c r="A24" s="24" t="inlineStr">
        <is>
          <t xml:space="preserve">orchards</t>
        </is>
      </c>
      <c r="B24" s="24" t="inlineStr">
        <is>
          <t xml:space="preserve">60-year-old orchard</t>
        </is>
      </c>
      <c r="C24" s="26">
        <v>109.0</v>
      </c>
      <c r="D24" s="24" t="inlineStr">
        <is>
          <t xml:space="preserve">109_MAS1_5_A3</t>
        </is>
      </c>
      <c r="E24" s="24" t="inlineStr">
        <is>
          <t xml:space="preserve">MAS1.5</t>
        </is>
      </c>
      <c r="F24" s="24" t="inlineStr">
        <is>
          <t xml:space="preserve">20-50</t>
        </is>
      </c>
      <c r="G24" s="26">
        <v>20.0</v>
      </c>
      <c r="H24" s="26">
        <v>50.0</v>
      </c>
      <c r="I24" s="25">
        <v>2.977701056300736</v>
      </c>
      <c r="J24" s="25">
        <v>21.43506287355185</v>
      </c>
      <c r="K24" s="24" t="inlineStr">
        <is>
          <t xml:space="preserve">observed cumulative core stock; not a fitted mean</t>
        </is>
      </c>
      <c r="L24" s="26">
        <v>3.0</v>
      </c>
    </row>
    <row r="25" ht="24" customHeight="1">
      <c r="A25" s="24" t="inlineStr">
        <is>
          <t xml:space="preserve">orchards</t>
        </is>
      </c>
      <c r="B25" s="24" t="inlineStr">
        <is>
          <t xml:space="preserve">60-year-old orchard</t>
        </is>
      </c>
      <c r="C25" s="26">
        <v>110.0</v>
      </c>
      <c r="D25" s="24" t="inlineStr">
        <is>
          <t xml:space="preserve">110_MAS1_5_A4</t>
        </is>
      </c>
      <c r="E25" s="24" t="inlineStr">
        <is>
          <t xml:space="preserve">MAS1.5</t>
        </is>
      </c>
      <c r="F25" s="24" t="inlineStr">
        <is>
          <t xml:space="preserve">50-75</t>
        </is>
      </c>
      <c r="G25" s="26">
        <v>50.0</v>
      </c>
      <c r="H25" s="26">
        <v>75.0</v>
      </c>
      <c r="I25" s="25">
        <v>3.1885456229775113</v>
      </c>
      <c r="J25" s="25">
        <v>24.62360849652936</v>
      </c>
      <c r="K25" s="24" t="inlineStr">
        <is>
          <t xml:space="preserve">observed cumulative core stock; not a fitted mean</t>
        </is>
      </c>
      <c r="L25" s="26">
        <v>3.0</v>
      </c>
    </row>
  </sheetData>
  <pageMargins left="0.7" right="0.7" top="0.75" bottom="0.75" header="0.3" footer="0.3"/>
</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3" hidden="0" customWidth="1"/>
    <x:col min="3" max="3" width="32" hidden="0" customWidth="1"/>
    <x:col min="4" max="4" width="32" hidden="0" customWidth="1"/>
    <x:col min="5" max="5" width="17" hidden="0" customWidth="1"/>
    <x:col min="6" max="6" width="17" hidden="0" customWidth="1"/>
    <x:col min="7" max="7" width="18" hidden="0" customWidth="1"/>
    <x:col min="8" max="8" width="60" hidden="0" customWidth="1"/>
    <x:col min="9" max="9" width="40" hidden="0" customWidth="1"/>
    <x:col min="10" max="10" width="12" hidden="0" customWidth="1"/>
    <x:col min="11" max="11" width="12" hidden="0" customWidth="1"/>
    <x:col min="12" max="12" width="15" hidden="0" customWidth="1"/>
    <x:col min="13" max="13" width="21" hidden="0" customWidth="1"/>
    <x:col min="14" max="14" width="15" hidden="0" customWidth="1"/>
    <x:col min="15" max="15" width="55" hidden="0" customWidth="1"/>
    <x:col min="16" max="16" width="10" hidden="0" customWidth="1"/>
  </x:cols>
  <x:sheetData>
    <x:row r="1">
      <x:c r="A1" s="51" t="str">
        <x:v>Cumulative C-stock endpoint comparisons</x:v>
      </x:c>
      <x:c r="B1" s="50"/>
      <x:c r="C1" s="50"/>
      <x:c r="D1" s="50"/>
      <x:c r="E1" s="50"/>
      <x:c r="F1" s="50"/>
      <x:c r="G1" s="50"/>
      <x:c r="H1" s="50"/>
      <x:c r="I1" s="50"/>
      <x:c r="J1" s="50"/>
      <x:c r="K1" s="50"/>
      <x:c r="L1" s="50"/>
      <x:c r="M1" s="50"/>
      <x:c r="N1" s="50"/>
      <x:c r="O1" s="50"/>
      <x:c r="P1" s="50"/>
    </x:row>
    <x:row r="2">
      <x:c r="A2" s="52" t="str">
        <x:v>Group summaries use sample SD; plotted error bars use one sample SE. Each group has three cores from one field or margin.</x:v>
      </x:c>
      <x:c r="B2" s="50"/>
      <x:c r="C2" s="50"/>
      <x:c r="D2" s="50"/>
      <x:c r="E2" s="50"/>
      <x:c r="F2" s="50"/>
      <x:c r="G2" s="50"/>
      <x:c r="H2" s="50"/>
      <x:c r="I2" s="50"/>
      <x:c r="J2" s="50"/>
      <x:c r="K2" s="50"/>
      <x:c r="L2" s="50"/>
      <x:c r="M2" s="50"/>
      <x:c r="N2" s="50"/>
      <x:c r="O2" s="50"/>
      <x:c r="P2" s="50"/>
    </x:row>
    <x:row r="3">
      <x:c r="A3" s="50"/>
      <x:c r="B3" s="50"/>
      <x:c r="C3" s="50"/>
      <x:c r="D3" s="50"/>
      <x:c r="E3" s="50"/>
      <x:c r="F3" s="50"/>
      <x:c r="G3" s="50"/>
      <x:c r="H3" s="50"/>
      <x:c r="I3" s="50"/>
      <x:c r="J3" s="50"/>
      <x:c r="K3" s="50"/>
      <x:c r="L3" s="50"/>
      <x:c r="M3" s="50"/>
      <x:c r="N3" s="50"/>
      <x:c r="O3" s="50"/>
      <x:c r="P3" s="50"/>
    </x:row>
    <x:row r="4">
      <x:c r="A4" s="50"/>
      <x:c r="B4" s="50"/>
      <x:c r="C4" s="50"/>
      <x:c r="D4" s="50"/>
      <x:c r="E4" s="50"/>
      <x:c r="F4" s="50"/>
      <x:c r="G4" s="50"/>
      <x:c r="H4" s="50"/>
      <x:c r="I4" s="50"/>
      <x:c r="J4" s="50"/>
      <x:c r="K4" s="50"/>
      <x:c r="L4" s="50"/>
      <x:c r="M4" s="50"/>
      <x:c r="N4" s="50"/>
      <x:c r="O4" s="50"/>
      <x:c r="P4" s="50"/>
    </x:row>
    <x:row r="5" ht="32" customHeight="1">
      <x:c r="A5" s="57" t="str">
        <x:v>system</x:v>
      </x:c>
      <x:c r="B5" s="57" t="str">
        <x:v>endpoint_cm</x:v>
      </x:c>
      <x:c r="C5" s="57" t="str">
        <x:v>management</x:v>
      </x:c>
      <x:c r="D5" s="57" t="str">
        <x:v>n_cores</x:v>
      </x:c>
      <x:c r="E5" s="57" t="str">
        <x:v>mean_t_C_ha</x:v>
      </x:c>
      <x:c r="F5" s="57" t="str">
        <x:v>sd_t_C_ha</x:v>
      </x:c>
      <x:c r="G5" s="57" t="str">
        <x:v>se_t_C_ha</x:v>
      </x:c>
      <x:c r="H5" s="57" t="str">
        <x:v>source_sample_codes</x:v>
      </x:c>
      <x:c r="I5" s="57" t="str">
        <x:v>source_core_ids</x:v>
      </x:c>
      <x:c r="J5" s="50"/>
      <x:c r="K5" s="50"/>
      <x:c r="L5" s="50"/>
      <x:c r="M5" s="50"/>
      <x:c r="N5" s="50"/>
      <x:c r="O5" s="50"/>
      <x:c r="P5" s="50"/>
    </x:row>
    <x:row r="6" ht="19" customHeight="1">
      <x:c r="A6" s="58" t="str">
        <x:v>annual vegetables</x:v>
      </x:c>
      <x:c r="B6" s="61" t="n">
        <x:v>100</x:v>
      </x:c>
      <x:c r="C6" s="58" t="str">
        <x:v>monoculture</x:v>
      </x:c>
      <x:c r="D6" s="62" t="n">
        <x:v>3</x:v>
      </x:c>
      <x:c r="E6" s="63" t="n">
        <x:v>20.134781716894697</x:v>
      </x:c>
      <x:c r="F6" s="63" t="n">
        <x:v>3.4701537062064545</x:v>
      </x:c>
      <x:c r="G6" s="63" t="n">
        <x:v>2.003494176407674</x:v>
      </x:c>
      <x:c r="H6" s="58" t="str">
        <x:v>6_IKON_1_A6;18_IKON_3_A6;30_IKON_5_A6</x:v>
      </x:c>
      <x:c r="I6" s="58" t="str">
        <x:v>IKON.1;IKON.3;IKON.5</x:v>
      </x:c>
      <x:c r="J6" s="58"/>
      <x:c r="K6" s="58"/>
      <x:c r="L6" s="58"/>
      <x:c r="M6" s="58"/>
      <x:c r="N6" s="58"/>
      <x:c r="O6" s="58"/>
      <x:c r="P6" s="58"/>
    </x:row>
    <x:row r="7" ht="19" customHeight="1">
      <x:c r="A7" s="58" t="str">
        <x:v>annual vegetables</x:v>
      </x:c>
      <x:c r="B7" s="61" t="n">
        <x:v>100</x:v>
      </x:c>
      <x:c r="C7" s="58" t="str">
        <x:v>polyculture</x:v>
      </x:c>
      <x:c r="D7" s="62" t="n">
        <x:v>3</x:v>
      </x:c>
      <x:c r="E7" s="63" t="n">
        <x:v>28.958569794910705</x:v>
      </x:c>
      <x:c r="F7" s="63" t="n">
        <x:v>5.582436924585759</x:v>
      </x:c>
      <x:c r="G7" s="63" t="n">
        <x:v>3.2230214611436945</x:v>
      </x:c>
      <x:c r="H7" s="58" t="str">
        <x:v>42_LAHE_1_A6;54_LAHE_3_A6;66_LAHE_5_A6</x:v>
      </x:c>
      <x:c r="I7" s="58" t="str">
        <x:v>LAHE.1;LAHE.3;LAHE.5</x:v>
      </x:c>
      <x:c r="J7" s="58"/>
      <x:c r="K7" s="58"/>
      <x:c r="L7" s="58"/>
      <x:c r="M7" s="58"/>
      <x:c r="N7" s="58"/>
      <x:c r="O7" s="58"/>
      <x:c r="P7" s="58"/>
    </x:row>
    <x:row r="8" ht="19" customHeight="1">
      <x:c r="A8" s="58" t="str">
        <x:v>orchards</x:v>
      </x:c>
      <x:c r="B8" s="61" t="n">
        <x:v>75</x:v>
      </x:c>
      <x:c r="C8" s="58" t="str">
        <x:v>20-year-old orchard</x:v>
      </x:c>
      <x:c r="D8" s="62" t="n">
        <x:v>3</x:v>
      </x:c>
      <x:c r="E8" s="63" t="n">
        <x:v>26.369085413889202</x:v>
      </x:c>
      <x:c r="F8" s="63" t="n">
        <x:v>3.6567639364001625</x:v>
      </x:c>
      <x:c r="G8" s="63" t="n">
        <x:v>2.1112336430435494</x:v>
      </x:c>
      <x:c r="H8" s="58" t="str">
        <x:v>125_MAS2_1_A4;145_MAS2_3_A4;165_MAS2_5_A4</x:v>
      </x:c>
      <x:c r="I8" s="58" t="str">
        <x:v>MAS2.1;MAS2.3;MAS2.5</x:v>
      </x:c>
      <x:c r="J8" s="58"/>
      <x:c r="K8" s="58"/>
      <x:c r="L8" s="58"/>
      <x:c r="M8" s="58"/>
      <x:c r="N8" s="58"/>
      <x:c r="O8" s="58"/>
      <x:c r="P8" s="58"/>
    </x:row>
    <x:row r="9" ht="19" customHeight="1">
      <x:c r="A9" s="58" t="str">
        <x:v>orchards</x:v>
      </x:c>
      <x:c r="B9" s="61" t="n">
        <x:v>75</x:v>
      </x:c>
      <x:c r="C9" s="58" t="str">
        <x:v>60-year-old orchard</x:v>
      </x:c>
      <x:c r="D9" s="62" t="n">
        <x:v>3</x:v>
      </x:c>
      <x:c r="E9" s="63" t="n">
        <x:v>22.502547211603577</x:v>
      </x:c>
      <x:c r="F9" s="63" t="n">
        <x:v>5.591382460637304</x:v>
      </x:c>
      <x:c r="G9" s="63" t="n">
        <x:v>3.2281861687910998</x:v>
      </x:c>
      <x:c r="H9" s="58" t="str">
        <x:v>70_MAS1_1_A4;90_MAS1_3_A4;110_MAS1_5_A4</x:v>
      </x:c>
      <x:c r="I9" s="58" t="str">
        <x:v>MAS1.1;MAS1.3;MAS1.5</x:v>
      </x:c>
      <x:c r="J9" s="58"/>
      <x:c r="K9" s="58"/>
      <x:c r="L9" s="58"/>
      <x:c r="M9" s="58"/>
      <x:c r="N9" s="58"/>
      <x:c r="O9" s="58"/>
      <x:c r="P9" s="58"/>
    </x:row>
    <x:row r="10" ht="19" customHeight="1">
      <x:c r="A10" s="58" t="str">
        <x:v>hedgerows</x:v>
      </x:c>
      <x:c r="B10" s="61" t="n">
        <x:v>20</x:v>
      </x:c>
      <x:c r="C10" s="58" t="str">
        <x:v>bare field margin</x:v>
      </x:c>
      <x:c r="D10" s="62" t="n">
        <x:v>3</x:v>
      </x:c>
      <x:c r="E10" s="63" t="n">
        <x:v>17.825944148864316</x:v>
      </x:c>
      <x:c r="F10" s="63" t="n">
        <x:v>0.3468594429067245</x:v>
      </x:c>
      <x:c r="G10" s="63" t="n">
        <x:v>0.200259392733161</x:v>
      </x:c>
      <x:c r="H10" s="58" t="str">
        <x:v>213_HRDY3_1_A2;218_HRDY3_2_A2;223_HRDY3_3_A2</x:v>
      </x:c>
      <x:c r="I10" s="58" t="str">
        <x:v>HRDY3.1;HRDY3.2;HRDY3.3</x:v>
      </x:c>
      <x:c r="J10" s="58"/>
      <x:c r="K10" s="58"/>
      <x:c r="L10" s="58"/>
      <x:c r="M10" s="58"/>
      <x:c r="N10" s="58"/>
      <x:c r="O10" s="58"/>
      <x:c r="P10" s="58"/>
    </x:row>
    <x:row r="11" ht="19" customHeight="1">
      <x:c r="A11" s="58" t="str">
        <x:v>hedgerows</x:v>
      </x:c>
      <x:c r="B11" s="61" t="n">
        <x:v>20</x:v>
      </x:c>
      <x:c r="C11" s="58" t="str">
        <x:v>10-year-old hedgerow</x:v>
      </x:c>
      <x:c r="D11" s="62" t="n">
        <x:v>3</x:v>
      </x:c>
      <x:c r="E11" s="63" t="n">
        <x:v>24.87458930636164</x:v>
      </x:c>
      <x:c r="F11" s="63" t="n">
        <x:v>3.2965853662667755</x:v>
      </x:c>
      <x:c r="G11" s="63" t="n">
        <x:v>1.903284448620704</x:v>
      </x:c>
      <x:c r="H11" s="58" t="str">
        <x:v>198_HRDY2_1_A2;203_HRDY2_2_A2;208_HRDY2_3_A2</x:v>
      </x:c>
      <x:c r="I11" s="58" t="str">
        <x:v>HRDY2.1;HRDY2.2;HRDY2.3</x:v>
      </x:c>
      <x:c r="J11" s="58"/>
      <x:c r="K11" s="58"/>
      <x:c r="L11" s="58"/>
      <x:c r="M11" s="58"/>
      <x:c r="N11" s="58"/>
      <x:c r="O11" s="58"/>
      <x:c r="P11" s="58"/>
    </x:row>
    <x:row r="12" ht="19" customHeight="1">
      <x:c r="A12" s="58" t="str">
        <x:v>hedgerows</x:v>
      </x:c>
      <x:c r="B12" s="61" t="n">
        <x:v>20</x:v>
      </x:c>
      <x:c r="C12" s="58" t="str">
        <x:v>30-year-old hedgerow</x:v>
      </x:c>
      <x:c r="D12" s="62" t="n">
        <x:v>3</x:v>
      </x:c>
      <x:c r="E12" s="63" t="n">
        <x:v>23.643931143193836</x:v>
      </x:c>
      <x:c r="F12" s="63" t="n">
        <x:v>3.044218601372895</x:v>
      </x:c>
      <x:c r="G12" s="63" t="n">
        <x:v>1.757580428974707</x:v>
      </x:c>
      <x:c r="H12" s="58" t="str">
        <x:v>183_HRDY1_1_A2;188_HRDY1_2_A2;193_HRDY1_3_A2</x:v>
      </x:c>
      <x:c r="I12" s="58" t="str">
        <x:v>HRDY1.1;HRDY1.2;HRDY1.3</x:v>
      </x:c>
      <x:c r="J12" s="58"/>
      <x:c r="K12" s="58"/>
      <x:c r="L12" s="58"/>
      <x:c r="M12" s="58"/>
      <x:c r="N12" s="58"/>
      <x:c r="O12" s="58"/>
      <x:c r="P12" s="58"/>
    </x:row>
    <x:row r="13" ht="19" customHeight="1">
      <x:c r="A13" s="58" t="str">
        <x:v>hedgerows</x:v>
      </x:c>
      <x:c r="B13" s="61" t="n">
        <x:v>75</x:v>
      </x:c>
      <x:c r="C13" s="58" t="str">
        <x:v>bare field margin</x:v>
      </x:c>
      <x:c r="D13" s="62" t="n">
        <x:v>3</x:v>
      </x:c>
      <x:c r="E13" s="63" t="n">
        <x:v>52.021567378651866</x:v>
      </x:c>
      <x:c r="F13" s="63" t="n">
        <x:v>6.100826106185573</x:v>
      </x:c>
      <x:c r="G13" s="63" t="n">
        <x:v>3.522313594685337</x:v>
      </x:c>
      <x:c r="H13" s="58" t="str">
        <x:v>215_HRDY3_1_A4;220_HRDY3_2_A4;225_HRDY3_3_A4</x:v>
      </x:c>
      <x:c r="I13" s="58" t="str">
        <x:v>HRDY3.1;HRDY3.2;HRDY3.3</x:v>
      </x:c>
      <x:c r="J13" s="58"/>
      <x:c r="K13" s="58"/>
      <x:c r="L13" s="58"/>
      <x:c r="M13" s="58"/>
      <x:c r="N13" s="58"/>
      <x:c r="O13" s="58"/>
      <x:c r="P13" s="58"/>
    </x:row>
    <x:row r="14" ht="19" customHeight="1">
      <x:c r="A14" s="58" t="str">
        <x:v>hedgerows</x:v>
      </x:c>
      <x:c r="B14" s="61" t="n">
        <x:v>75</x:v>
      </x:c>
      <x:c r="C14" s="58" t="str">
        <x:v>10-year-old hedgerow</x:v>
      </x:c>
      <x:c r="D14" s="62" t="n">
        <x:v>3</x:v>
      </x:c>
      <x:c r="E14" s="63" t="n">
        <x:v>56.48760030922638</x:v>
      </x:c>
      <x:c r="F14" s="63" t="n">
        <x:v>6.707953380858479</x:v>
      </x:c>
      <x:c r="G14" s="63" t="n">
        <x:v>3.872838690150103</x:v>
      </x:c>
      <x:c r="H14" s="58" t="str">
        <x:v>200_HRDY2_1_A4;205_HRDY2_2_A4;210_HRDY2_3_A4</x:v>
      </x:c>
      <x:c r="I14" s="58" t="str">
        <x:v>HRDY2.1;HRDY2.2;HRDY2.3</x:v>
      </x:c>
      <x:c r="J14" s="58"/>
      <x:c r="K14" s="58"/>
      <x:c r="L14" s="58"/>
      <x:c r="M14" s="58"/>
      <x:c r="N14" s="58"/>
      <x:c r="O14" s="58"/>
      <x:c r="P14" s="58"/>
    </x:row>
    <x:row r="15" ht="19" customHeight="1">
      <x:c r="A15" s="58" t="str">
        <x:v>hedgerows</x:v>
      </x:c>
      <x:c r="B15" s="61" t="n">
        <x:v>75</x:v>
      </x:c>
      <x:c r="C15" s="58" t="str">
        <x:v>30-year-old hedgerow</x:v>
      </x:c>
      <x:c r="D15" s="62" t="n">
        <x:v>3</x:v>
      </x:c>
      <x:c r="E15" s="63" t="n">
        <x:v>50.253584192955685</x:v>
      </x:c>
      <x:c r="F15" s="63" t="n">
        <x:v>1.7889054226927732</x:v>
      </x:c>
      <x:c r="G15" s="63" t="n">
        <x:v>1.0328250273464539</x:v>
      </x:c>
      <x:c r="H15" s="58" t="str">
        <x:v>185_HRDY1_1_A4;190_HRDY1_2_A4;195_HRDY1_3_A4</x:v>
      </x:c>
      <x:c r="I15" s="58" t="str">
        <x:v>HRDY1.1;HRDY1.2;HRDY1.3</x:v>
      </x:c>
      <x:c r="J15" s="58"/>
      <x:c r="K15" s="58"/>
      <x:c r="L15" s="58"/>
      <x:c r="M15" s="58"/>
      <x:c r="N15" s="58"/>
      <x:c r="O15" s="58"/>
      <x:c r="P15" s="58"/>
    </x:row>
    <x:row r="16" ht="19" customHeight="1">
      <x:c r="A16" s="58"/>
      <x:c r="B16" s="58"/>
      <x:c r="C16" s="58"/>
      <x:c r="D16" s="58"/>
      <x:c r="E16" s="58"/>
      <x:c r="F16" s="58"/>
      <x:c r="G16" s="58"/>
      <x:c r="H16" s="58"/>
      <x:c r="I16" s="58"/>
      <x:c r="J16" s="58"/>
      <x:c r="K16" s="58"/>
      <x:c r="L16" s="58"/>
      <x:c r="M16" s="58"/>
      <x:c r="N16" s="58"/>
      <x:c r="O16" s="58"/>
      <x:c r="P16" s="58"/>
    </x:row>
    <x:row r="17" ht="19" customHeight="1">
      <x:c r="A17" s="58" t="str">
        <x:v>Two-sided unpaired Welch comparisons; differences are first group minus second group.</x:v>
      </x:c>
      <x:c r="B17" s="58"/>
      <x:c r="C17" s="58"/>
      <x:c r="D17" s="58"/>
      <x:c r="E17" s="58"/>
      <x:c r="F17" s="58"/>
      <x:c r="G17" s="58"/>
      <x:c r="H17" s="58"/>
      <x:c r="I17" s="58"/>
      <x:c r="J17" s="58"/>
      <x:c r="K17" s="58"/>
      <x:c r="L17" s="58"/>
      <x:c r="M17" s="58"/>
      <x:c r="N17" s="58"/>
      <x:c r="O17" s="58"/>
      <x:c r="P17" s="58"/>
    </x:row>
    <x:row r="18" ht="19" customHeight="1">
      <x:c r="A18" s="58" t="str">
        <x:v>All six hedgerow p-values are adjusted together by Holm. Confidence intervals are unadjusted 95% intervals.</x:v>
      </x:c>
      <x:c r="B18" s="58"/>
      <x:c r="C18" s="58"/>
      <x:c r="D18" s="58"/>
      <x:c r="E18" s="58"/>
      <x:c r="F18" s="58"/>
      <x:c r="G18" s="58"/>
      <x:c r="H18" s="58"/>
      <x:c r="I18" s="58"/>
      <x:c r="J18" s="58"/>
      <x:c r="K18" s="58"/>
      <x:c r="L18" s="58"/>
      <x:c r="M18" s="58"/>
      <x:c r="N18" s="58"/>
      <x:c r="O18" s="58"/>
      <x:c r="P18" s="58"/>
    </x:row>
    <x:row r="19" ht="19" customHeight="1">
      <x:c r="A19" s="58"/>
      <x:c r="B19" s="58"/>
      <x:c r="C19" s="58"/>
      <x:c r="D19" s="58"/>
      <x:c r="E19" s="58"/>
      <x:c r="F19" s="58"/>
      <x:c r="G19" s="58"/>
      <x:c r="H19" s="58"/>
      <x:c r="I19" s="58"/>
      <x:c r="J19" s="58"/>
      <x:c r="K19" s="58"/>
      <x:c r="L19" s="58"/>
      <x:c r="M19" s="58"/>
      <x:c r="N19" s="58"/>
      <x:c r="O19" s="58"/>
      <x:c r="P19" s="58"/>
    </x:row>
    <x:row r="20" ht="45" customHeight="1">
      <x:c r="A20" s="57" t="str">
        <x:v>system</x:v>
      </x:c>
      <x:c r="B20" s="57" t="str">
        <x:v>endpoint_cm</x:v>
      </x:c>
      <x:c r="C20" s="57" t="str">
        <x:v>first_group</x:v>
      </x:c>
      <x:c r="D20" s="57" t="str">
        <x:v>second_group</x:v>
      </x:c>
      <x:c r="E20" s="57" t="str">
        <x:v>n_first</x:v>
      </x:c>
      <x:c r="F20" s="57" t="str">
        <x:v>n_second</x:v>
      </x:c>
      <x:c r="G20" s="57" t="str">
        <x:v>difference_t_C_ha</x:v>
      </x:c>
      <x:c r="H20" s="57" t="str">
        <x:v>lower_95_t_C_ha</x:v>
      </x:c>
      <x:c r="I20" s="57" t="str">
        <x:v>upper_95_t_C_ha</x:v>
      </x:c>
      <x:c r="J20" s="57" t="str">
        <x:v>t</x:v>
      </x:c>
      <x:c r="K20" s="57" t="str">
        <x:v>df</x:v>
      </x:c>
      <x:c r="L20" s="57" t="str">
        <x:v>p_unadjusted</x:v>
      </x:c>
      <x:c r="M20" s="57" t="str">
        <x:v>p_Holm_six_hedgerow_tests</x:v>
      </x:c>
      <x:c r="N20" s="57" t="str">
        <x:v>p_reported</x:v>
      </x:c>
      <x:c r="O20" s="57" t="str">
        <x:v>p_adjustment</x:v>
      </x:c>
      <x:c r="P20" s="57" t="str">
        <x:v>symbol</x:v>
      </x:c>
    </x:row>
    <x:row r="21" ht="19" customHeight="1">
      <x:c r="A21" s="58" t="str">
        <x:v>annual vegetables</x:v>
      </x:c>
      <x:c r="B21" s="61" t="n">
        <x:v>100</x:v>
      </x:c>
      <x:c r="C21" s="58" t="str">
        <x:v>polyculture</x:v>
      </x:c>
      <x:c r="D21" s="58" t="str">
        <x:v>monoculture</x:v>
      </x:c>
      <x:c r="E21" s="62" t="n">
        <x:v>3</x:v>
      </x:c>
      <x:c r="F21" s="62" t="n">
        <x:v>3</x:v>
      </x:c>
      <x:c r="G21" s="63" t="n">
        <x:v>8.823788078016008</x:v>
      </x:c>
      <x:c r="H21" s="63" t="n">
        <x:v>-2.578791702872911</x:v>
      </x:c>
      <x:c r="I21" s="63" t="n">
        <x:v>20.226367858904926</x:v>
      </x:c>
      <x:c r="J21" s="63" t="n">
        <x:v>2.325122469536661</x:v>
      </x:c>
      <x:c r="K21" s="63" t="n">
        <x:v>3.3448417899320253</x:v>
      </x:c>
      <x:c r="L21" s="63" t="n">
        <x:v>0.0935645005399456</x:v>
      </x:c>
      <x:c r="M21" s="63"/>
      <x:c r="N21" s="63" t="n">
        <x:v>0.0935645005399456</x:v>
      </x:c>
      <x:c r="O21" s="58" t="str">
        <x:v>none</x:v>
      </x:c>
      <x:c r="P21" s="64" t="str">
        <x:v>†</x:v>
      </x:c>
    </x:row>
    <x:row r="22" ht="19" customHeight="1">
      <x:c r="A22" s="58" t="str">
        <x:v>orchards</x:v>
      </x:c>
      <x:c r="B22" s="61" t="n">
        <x:v>75</x:v>
      </x:c>
      <x:c r="C22" s="58" t="str">
        <x:v>20-year-old orchard</x:v>
      </x:c>
      <x:c r="D22" s="58" t="str">
        <x:v>60-year-old orchard</x:v>
      </x:c>
      <x:c r="E22" s="62" t="n">
        <x:v>3</x:v>
      </x:c>
      <x:c r="F22" s="62" t="n">
        <x:v>3</x:v>
      </x:c>
      <x:c r="G22" s="63" t="n">
        <x:v>3.866538202285625</x:v>
      </x:c>
      <x:c r="H22" s="63" t="n">
        <x:v>-7.556921621109278</x:v>
      </x:c>
      <x:c r="I22" s="63" t="n">
        <x:v>15.289998025680527</x:v>
      </x:c>
      <x:c r="J22" s="63" t="n">
        <x:v>1.0024040821822082</x:v>
      </x:c>
      <x:c r="K22" s="63" t="n">
        <x:v>3.4462799996934383</x:v>
      </x:c>
      <x:c r="L22" s="63" t="n">
        <x:v>0.38124101306607633</x:v>
      </x:c>
      <x:c r="M22" s="63"/>
      <x:c r="N22" s="63" t="n">
        <x:v>0.38124101306607633</x:v>
      </x:c>
      <x:c r="O22" s="58" t="str">
        <x:v>none</x:v>
      </x:c>
      <x:c r="P22" s="64" t="str"/>
    </x:row>
    <x:row r="23" ht="19" customHeight="1">
      <x:c r="A23" s="58" t="str">
        <x:v>hedgerows</x:v>
      </x:c>
      <x:c r="B23" s="61" t="n">
        <x:v>20</x:v>
      </x:c>
      <x:c r="C23" s="58" t="str">
        <x:v>10-year-old hedgerow</x:v>
      </x:c>
      <x:c r="D23" s="58" t="str">
        <x:v>bare field margin</x:v>
      </x:c>
      <x:c r="E23" s="62" t="n">
        <x:v>3</x:v>
      </x:c>
      <x:c r="F23" s="62" t="n">
        <x:v>3</x:v>
      </x:c>
      <x:c r="G23" s="63" t="n">
        <x:v>7.048645157497322</x:v>
      </x:c>
      <x:c r="H23" s="63" t="n">
        <x:v>-1.0171592695888614</x:v>
      </x:c>
      <x:c r="I23" s="63" t="n">
        <x:v>15.114449584583506</x:v>
      </x:c>
      <x:c r="J23" s="63" t="n">
        <x:v>3.6830801349304574</x:v>
      </x:c>
      <x:c r="K23" s="63" t="n">
        <x:v>2.0442777106698675</x:v>
      </x:c>
      <x:c r="L23" s="63" t="n">
        <x:v>0.06427384641300797</x:v>
      </x:c>
      <x:c r="M23" s="63" t="n">
        <x:v>0.3856430784780478</x:v>
      </x:c>
      <x:c r="N23" s="63" t="n">
        <x:v>0.3856430784780478</x:v>
      </x:c>
      <x:c r="O23" s="58" t="str">
        <x:v>Holm across all six hedgerow pairwise endpoint tests</x:v>
      </x:c>
      <x:c r="P23" s="64" t="str"/>
    </x:row>
    <x:row r="24" ht="19" customHeight="1">
      <x:c r="A24" s="58" t="str">
        <x:v>hedgerows</x:v>
      </x:c>
      <x:c r="B24" s="61" t="n">
        <x:v>20</x:v>
      </x:c>
      <x:c r="C24" s="58" t="str">
        <x:v>30-year-old hedgerow</x:v>
      </x:c>
      <x:c r="D24" s="58" t="str">
        <x:v>bare field margin</x:v>
      </x:c>
      <x:c r="E24" s="62" t="n">
        <x:v>3</x:v>
      </x:c>
      <x:c r="F24" s="62" t="n">
        <x:v>3</x:v>
      </x:c>
      <x:c r="G24" s="63" t="n">
        <x:v>5.8179869943295195</x:v>
      </x:c>
      <x:c r="H24" s="63" t="n">
        <x:v>-1.6115901086909963</x:v>
      </x:c>
      <x:c r="I24" s="63" t="n">
        <x:v>13.247564097350036</x:v>
      </x:c>
      <x:c r="J24" s="63" t="n">
        <x:v>3.288944808713059</x:v>
      </x:c>
      <x:c r="K24" s="63" t="n">
        <x:v>2.051920895462422</x:v>
      </x:c>
      <x:c r="L24" s="63" t="n">
        <x:v>0.0785699794901898</x:v>
      </x:c>
      <x:c r="M24" s="63" t="n">
        <x:v>0.392849897450949</x:v>
      </x:c>
      <x:c r="N24" s="63" t="n">
        <x:v>0.392849897450949</x:v>
      </x:c>
      <x:c r="O24" s="58" t="str">
        <x:v>Holm across all six hedgerow pairwise endpoint tests</x:v>
      </x:c>
      <x:c r="P24" s="64" t="str"/>
    </x:row>
    <x:row r="25" ht="19" customHeight="1">
      <x:c r="A25" s="58" t="str">
        <x:v>hedgerows</x:v>
      </x:c>
      <x:c r="B25" s="61" t="n">
        <x:v>20</x:v>
      </x:c>
      <x:c r="C25" s="58" t="str">
        <x:v>30-year-old hedgerow</x:v>
      </x:c>
      <x:c r="D25" s="58" t="str">
        <x:v>10-year-old hedgerow</x:v>
      </x:c>
      <x:c r="E25" s="62" t="n">
        <x:v>3</x:v>
      </x:c>
      <x:c r="F25" s="62" t="n">
        <x:v>3</x:v>
      </x:c>
      <x:c r="G25" s="63" t="n">
        <x:v>-1.2306581631678029</x:v>
      </x:c>
      <x:c r="H25" s="63" t="n">
        <x:v>-8.441469326183766</x:v>
      </x:c>
      <x:c r="I25" s="63" t="n">
        <x:v>5.980152999848159</x:v>
      </x:c>
      <x:c r="J25" s="63" t="n">
        <x:v>-0.4750343665191944</x:v>
      </x:c>
      <x:c r="K25" s="63" t="n">
        <x:v>3.9748934907486837</x:v>
      </x:c>
      <x:c r="L25" s="63" t="n">
        <x:v>0.6596860799720022</x:v>
      </x:c>
      <x:c r="M25" s="63" t="n">
        <x:v>1</x:v>
      </x:c>
      <x:c r="N25" s="63" t="n">
        <x:v>1</x:v>
      </x:c>
      <x:c r="O25" s="58" t="str">
        <x:v>Holm across all six hedgerow pairwise endpoint tests</x:v>
      </x:c>
      <x:c r="P25" s="64" t="str"/>
    </x:row>
    <x:row r="26" ht="19" customHeight="1">
      <x:c r="A26" s="58" t="str">
        <x:v>hedgerows</x:v>
      </x:c>
      <x:c r="B26" s="61" t="n">
        <x:v>75</x:v>
      </x:c>
      <x:c r="C26" s="58" t="str">
        <x:v>10-year-old hedgerow</x:v>
      </x:c>
      <x:c r="D26" s="58" t="str">
        <x:v>bare field margin</x:v>
      </x:c>
      <x:c r="E26" s="62" t="n">
        <x:v>3</x:v>
      </x:c>
      <x:c r="F26" s="62" t="n">
        <x:v>3</x:v>
      </x:c>
      <x:c r="G26" s="63" t="n">
        <x:v>4.466032930574514</x:v>
      </x:c>
      <x:c r="H26" s="63" t="n">
        <x:v>-10.120176846662487</x:v>
      </x:c>
      <x:c r="I26" s="63" t="n">
        <x:v>19.052242707811516</x:v>
      </x:c>
      <x:c r="J26" s="63" t="n">
        <x:v>0.853104987506612</x:v>
      </x:c>
      <x:c r="K26" s="63" t="n">
        <x:v>3.964531195133921</x:v>
      </x:c>
      <x:c r="L26" s="63" t="n">
        <x:v>0.4420758929650245</x:v>
      </x:c>
      <x:c r="M26" s="63" t="n">
        <x:v>1</x:v>
      </x:c>
      <x:c r="N26" s="63" t="n">
        <x:v>1</x:v>
      </x:c>
      <x:c r="O26" s="58" t="str">
        <x:v>Holm across all six hedgerow pairwise endpoint tests</x:v>
      </x:c>
      <x:c r="P26" s="64" t="str"/>
    </x:row>
    <x:row r="27" ht="19" customHeight="1">
      <x:c r="A27" s="58" t="str">
        <x:v>hedgerows</x:v>
      </x:c>
      <x:c r="B27" s="61" t="n">
        <x:v>75</x:v>
      </x:c>
      <x:c r="C27" s="58" t="str">
        <x:v>30-year-old hedgerow</x:v>
      </x:c>
      <x:c r="D27" s="58" t="str">
        <x:v>bare field margin</x:v>
      </x:c>
      <x:c r="E27" s="62" t="n">
        <x:v>3</x:v>
      </x:c>
      <x:c r="F27" s="62" t="n">
        <x:v>3</x:v>
      </x:c>
      <x:c r="G27" s="63" t="n">
        <x:v>-1.7679831856961812</x:v>
      </x:c>
      <x:c r="H27" s="63" t="n">
        <x:v>-15.547459634387588</x:v>
      </x:c>
      <x:c r="I27" s="63" t="n">
        <x:v>12.011493262995225</x:v>
      </x:c>
      <x:c r="J27" s="63" t="n">
        <x:v>-0.48165846439391163</x:v>
      </x:c>
      <x:c r="K27" s="63" t="n">
        <x:v>2.3413962293163526</x:v>
      </x:c>
      <x:c r="L27" s="63" t="n">
        <x:v>0.6713738077745641</x:v>
      </x:c>
      <x:c r="M27" s="63" t="n">
        <x:v>1</x:v>
      </x:c>
      <x:c r="N27" s="63" t="n">
        <x:v>1</x:v>
      </x:c>
      <x:c r="O27" s="58" t="str">
        <x:v>Holm across all six hedgerow pairwise endpoint tests</x:v>
      </x:c>
      <x:c r="P27" s="64" t="str"/>
    </x:row>
    <x:row r="28" ht="19" customHeight="1">
      <x:c r="A28" s="58" t="str">
        <x:v>hedgerows</x:v>
      </x:c>
      <x:c r="B28" s="61" t="n">
        <x:v>75</x:v>
      </x:c>
      <x:c r="C28" s="58" t="str">
        <x:v>30-year-old hedgerow</x:v>
      </x:c>
      <x:c r="D28" s="58" t="str">
        <x:v>10-year-old hedgerow</x:v>
      </x:c>
      <x:c r="E28" s="62" t="n">
        <x:v>3</x:v>
      </x:c>
      <x:c r="F28" s="62" t="n">
        <x:v>3</x:v>
      </x:c>
      <x:c r="G28" s="63" t="n">
        <x:v>-6.234016116270695</x:v>
      </x:c>
      <x:c r="H28" s="63" t="n">
        <x:v>-21.584594345460594</x:v>
      </x:c>
      <x:c r="I28" s="63" t="n">
        <x:v>9.116562112919205</x:v>
      </x:c>
      <x:c r="J28" s="63" t="n">
        <x:v>-1.5553185451835265</x:v>
      </x:c>
      <x:c r="K28" s="63" t="n">
        <x:v>2.2830502241581945</x:v>
      </x:c>
      <x:c r="L28" s="63" t="n">
        <x:v>0.24486413088400513</x:v>
      </x:c>
      <x:c r="M28" s="63" t="n">
        <x:v>0.9794565235360205</x:v>
      </x:c>
      <x:c r="N28" s="63" t="n">
        <x:v>0.9794565235360205</x:v>
      </x:c>
      <x:c r="O28" s="58" t="str">
        <x:v>Holm across all six hedgerow pairwise endpoint tests</x:v>
      </x:c>
      <x:c r="P28" s="64" t="str"/>
    </x:row>
  </x:sheetData>
  <x:pageMargins left="0.7" right="0.7" top="0.75" bottom="0.75" header="0.3" footer="0.3"/>
  <x:tableParts count="2">
    <x:tablePart xmlns:r="http://schemas.openxmlformats.org/officeDocument/2006/relationships" r:id="R4044959e28a14dd3"/>
    <x:tablePart xmlns:r="http://schemas.openxmlformats.org/officeDocument/2006/relationships" r:id="R359b90fed3d54df3"/>
  </x:tableParts>
</x:worksheet>
</file>