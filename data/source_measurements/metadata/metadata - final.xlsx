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ellnl-my.sharepoint.com/personal/guzman33_llnl_gov/Documents/-research projects/2024 - crop diveristy and perrenial studies/data/metadata/"/>
    </mc:Choice>
  </mc:AlternateContent>
  <xr:revisionPtr revIDLastSave="31" documentId="8_{667CEE34-1C86-D34F-8F1C-DB54301C7165}" xr6:coauthVersionLast="47" xr6:coauthVersionMax="47" xr10:uidLastSave="{DA677AF8-8F3D-E64B-9248-E6CB031004A4}"/>
  <bookViews>
    <workbookView xWindow="0" yWindow="880" windowWidth="41120" windowHeight="25700" xr2:uid="{3366DEA6-9286-0946-9005-7745388638B6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" i="1" l="1"/>
  <c r="M61" i="1"/>
  <c r="M55" i="1"/>
  <c r="M49" i="1"/>
  <c r="M43" i="1"/>
  <c r="M37" i="1"/>
  <c r="M31" i="1"/>
  <c r="M25" i="1"/>
  <c r="M19" i="1"/>
  <c r="M13" i="1"/>
  <c r="M7" i="1"/>
  <c r="M36" i="1"/>
  <c r="M35" i="1"/>
  <c r="M34" i="1"/>
  <c r="M33" i="1"/>
  <c r="M32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G3" i="2"/>
  <c r="F3" i="2"/>
  <c r="M167" i="1"/>
  <c r="M166" i="1"/>
  <c r="M165" i="1"/>
  <c r="M164" i="1"/>
  <c r="M16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66" i="1"/>
  <c r="M65" i="1"/>
  <c r="M64" i="1"/>
  <c r="M63" i="1"/>
  <c r="M62" i="1"/>
  <c r="M30" i="1"/>
  <c r="M29" i="1"/>
  <c r="M28" i="1"/>
  <c r="M27" i="1"/>
  <c r="M26" i="1"/>
  <c r="M162" i="1"/>
  <c r="M161" i="1"/>
  <c r="M160" i="1"/>
  <c r="M159" i="1"/>
  <c r="M158" i="1"/>
  <c r="M107" i="1"/>
  <c r="M106" i="1"/>
  <c r="M105" i="1"/>
  <c r="M104" i="1"/>
  <c r="M103" i="1"/>
  <c r="M60" i="1"/>
  <c r="M59" i="1"/>
  <c r="M58" i="1"/>
  <c r="M57" i="1"/>
  <c r="M56" i="1"/>
  <c r="M24" i="1"/>
  <c r="M23" i="1"/>
  <c r="M22" i="1"/>
  <c r="M21" i="1"/>
  <c r="M20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54" i="1"/>
  <c r="M53" i="1"/>
  <c r="M52" i="1"/>
  <c r="M51" i="1"/>
  <c r="M50" i="1"/>
  <c r="M18" i="1"/>
  <c r="M17" i="1"/>
  <c r="M16" i="1"/>
  <c r="M15" i="1"/>
  <c r="M14" i="1"/>
  <c r="M142" i="1"/>
  <c r="M141" i="1"/>
  <c r="M140" i="1"/>
  <c r="M139" i="1"/>
  <c r="M138" i="1"/>
  <c r="M87" i="1"/>
  <c r="M86" i="1"/>
  <c r="M85" i="1"/>
  <c r="M84" i="1"/>
  <c r="M83" i="1"/>
  <c r="M48" i="1"/>
  <c r="M47" i="1"/>
  <c r="M46" i="1"/>
  <c r="M45" i="1"/>
  <c r="M44" i="1"/>
  <c r="M12" i="1"/>
  <c r="M11" i="1"/>
  <c r="M10" i="1"/>
  <c r="M9" i="1"/>
  <c r="M8" i="1"/>
  <c r="M3" i="1"/>
  <c r="M4" i="1"/>
  <c r="M5" i="1"/>
  <c r="M6" i="1"/>
  <c r="M38" i="1"/>
  <c r="M39" i="1"/>
  <c r="M40" i="1"/>
  <c r="M41" i="1"/>
  <c r="M42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2" i="1"/>
  <c r="G2" i="2"/>
  <c r="F2" i="2"/>
  <c r="E2" i="2"/>
  <c r="E3" i="2" l="1"/>
  <c r="E4" i="2" s="1"/>
</calcChain>
</file>

<file path=xl/sharedStrings.xml><?xml version="1.0" encoding="utf-8"?>
<sst xmlns="http://schemas.openxmlformats.org/spreadsheetml/2006/main" count="1287" uniqueCount="50">
  <si>
    <t>site_name</t>
  </si>
  <si>
    <t>management_type</t>
  </si>
  <si>
    <t>LAHE</t>
  </si>
  <si>
    <t>IKON</t>
  </si>
  <si>
    <t>polyculture</t>
  </si>
  <si>
    <t>monoculture</t>
  </si>
  <si>
    <t>years_in_management</t>
  </si>
  <si>
    <t>peach orchard</t>
  </si>
  <si>
    <t>increment_number</t>
  </si>
  <si>
    <t>depth_cm</t>
  </si>
  <si>
    <t>core_type</t>
  </si>
  <si>
    <t>sample_id</t>
  </si>
  <si>
    <t>14C</t>
  </si>
  <si>
    <t>sample_code</t>
  </si>
  <si>
    <t>0-10</t>
  </si>
  <si>
    <t>core_id</t>
  </si>
  <si>
    <t>A</t>
  </si>
  <si>
    <t>MAS1</t>
  </si>
  <si>
    <t>MAS2</t>
  </si>
  <si>
    <t>10-20</t>
  </si>
  <si>
    <t>20-30</t>
  </si>
  <si>
    <t>20-50</t>
  </si>
  <si>
    <t>30-40</t>
  </si>
  <si>
    <t>50-75</t>
  </si>
  <si>
    <t>40-50</t>
  </si>
  <si>
    <t>75-100</t>
  </si>
  <si>
    <t>B</t>
  </si>
  <si>
    <t>C</t>
  </si>
  <si>
    <t>project_id</t>
  </si>
  <si>
    <t>TOC, root density</t>
  </si>
  <si>
    <t>CD</t>
  </si>
  <si>
    <t>OR</t>
  </si>
  <si>
    <t>sites</t>
  </si>
  <si>
    <t>sampling point</t>
  </si>
  <si>
    <t>cores</t>
  </si>
  <si>
    <t>increments</t>
  </si>
  <si>
    <t>total samples</t>
  </si>
  <si>
    <t>sleeves needed</t>
  </si>
  <si>
    <t>sleeves for fresno</t>
  </si>
  <si>
    <t>sampling_point</t>
  </si>
  <si>
    <t>site_number</t>
  </si>
  <si>
    <t>EX</t>
  </si>
  <si>
    <t>50-100</t>
  </si>
  <si>
    <t>transect</t>
  </si>
  <si>
    <t>0m</t>
  </si>
  <si>
    <t>25m</t>
  </si>
  <si>
    <t>50m</t>
  </si>
  <si>
    <t>75m</t>
  </si>
  <si>
    <t>100m</t>
  </si>
  <si>
    <t>150m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</si>
</sst>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quotePrefix="1" applyFill="1"/>
    <xf numFmtId="0" fontId="0" fillId="0" borderId="0" xfId="0" applyFill="1"/>
    <xf numFmtId="0" fontId="0" fillId="0" borderId="0" xfId="0" quotePrefix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9E93-E19F-7740-8FD4-72E4CA9785C0}">
  <dimension ref="A1:M182"/>
  <sheetViews>
    <sheetView tabSelected="1" topLeftCell="A113" zoomScale="150" workbookViewId="0">
      <selection activeCell="A139" sqref="A139:XFD139"/>
    </sheetView>
  </sheetViews>
  <sheetFormatPr baseColWidth="10" defaultRowHeight="16" x14ac:dyDescent="0.2"/>
  <cols>
    <col min="1" max="1" width="11.83203125" bestFit="1" customWidth="1"/>
    <col min="2" max="2" width="12.1640625" bestFit="1" customWidth="1"/>
    <col min="3" max="3" width="14" bestFit="1" customWidth="1"/>
    <col min="4" max="4" width="12.33203125" bestFit="1" customWidth="1"/>
    <col min="5" max="5" width="19.1640625" bestFit="1" customWidth="1"/>
    <col min="6" max="6" width="22.5" bestFit="1" customWidth="1"/>
    <col min="7" max="7" width="16.33203125" bestFit="1" customWidth="1"/>
    <col min="8" max="8" width="16.33203125" customWidth="1"/>
    <col min="9" max="9" width="9.6640625" bestFit="1" customWidth="1"/>
    <col min="10" max="10" width="15" bestFit="1" customWidth="1"/>
    <col min="11" max="11" width="19.5" bestFit="1" customWidth="1"/>
    <col min="12" max="12" width="11.83203125" bestFit="1" customWidth="1"/>
    <col min="13" max="13" width="14.6640625" bestFit="1" customWidth="1"/>
  </cols>
  <sheetData>
    <row r="1" spans="1:13" s="1" customFormat="1" x14ac:dyDescent="0.2">
      <c r="A1" s="6" t="s">
        <v>28</v>
      </c>
      <c r="B1" s="6" t="s">
        <v>11</v>
      </c>
      <c r="C1" s="6" t="s">
        <v>40</v>
      </c>
      <c r="D1" s="6" t="s">
        <v>0</v>
      </c>
      <c r="E1" s="6" t="s">
        <v>1</v>
      </c>
      <c r="F1" s="6" t="s">
        <v>6</v>
      </c>
      <c r="G1" s="6" t="s">
        <v>39</v>
      </c>
      <c r="H1" s="6" t="s">
        <v>43</v>
      </c>
      <c r="I1" s="6" t="s">
        <v>15</v>
      </c>
      <c r="J1" s="6" t="s">
        <v>10</v>
      </c>
      <c r="K1" s="6" t="s">
        <v>8</v>
      </c>
      <c r="L1" s="6" t="s">
        <v>9</v>
      </c>
      <c r="M1" s="6" t="s">
        <v>13</v>
      </c>
    </row>
    <row r="2" spans="1:13" x14ac:dyDescent="0.2">
      <c r="A2" s="2" t="s">
        <v>30</v>
      </c>
      <c r="B2" s="2">
        <v>1</v>
      </c>
      <c r="C2" s="2">
        <v>1</v>
      </c>
      <c r="D2" s="2" t="s">
        <v>3</v>
      </c>
      <c r="E2" s="2" t="s">
        <v>5</v>
      </c>
      <c r="F2" s="2">
        <v>40</v>
      </c>
      <c r="G2" s="2">
        <v>1</v>
      </c>
      <c r="H2" s="2" t="s">
        <v>44</v>
      </c>
      <c r="I2" s="2" t="s">
        <v>16</v>
      </c>
      <c r="J2" s="2" t="s">
        <v>12</v>
      </c>
      <c r="K2" s="2">
        <v>1</v>
      </c>
      <c r="L2" s="2" t="s">
        <v>14</v>
      </c>
      <c r="M2" s="2" t="str">
        <f>_xlfn.CONCAT(B2,"_",D2,"_",G2,"_", I2,K2)</f>
        <v>1_IKON_1_A1</v>
      </c>
    </row>
    <row r="3" spans="1:13" x14ac:dyDescent="0.2">
      <c r="A3" s="2" t="s">
        <v>30</v>
      </c>
      <c r="B3" s="2">
        <v>2</v>
      </c>
      <c r="C3" s="2">
        <v>1</v>
      </c>
      <c r="D3" s="2" t="s">
        <v>3</v>
      </c>
      <c r="E3" s="2" t="s">
        <v>5</v>
      </c>
      <c r="F3" s="2">
        <v>40</v>
      </c>
      <c r="G3" s="2">
        <v>1</v>
      </c>
      <c r="H3" s="2" t="s">
        <v>44</v>
      </c>
      <c r="I3" s="2" t="s">
        <v>16</v>
      </c>
      <c r="J3" s="2" t="s">
        <v>12</v>
      </c>
      <c r="K3" s="2">
        <v>2</v>
      </c>
      <c r="L3" s="3" t="s">
        <v>19</v>
      </c>
      <c r="M3" s="2" t="str">
        <f>_xlfn.CONCAT(B3,"_",D3,"_",G3,"_", I3,K3)</f>
        <v>2_IKON_1_A2</v>
      </c>
    </row>
    <row r="4" spans="1:13" x14ac:dyDescent="0.2">
      <c r="A4" s="2" t="s">
        <v>30</v>
      </c>
      <c r="B4" s="2">
        <v>3</v>
      </c>
      <c r="C4" s="2">
        <v>1</v>
      </c>
      <c r="D4" s="2" t="s">
        <v>3</v>
      </c>
      <c r="E4" s="2" t="s">
        <v>5</v>
      </c>
      <c r="F4" s="2">
        <v>40</v>
      </c>
      <c r="G4" s="2">
        <v>1</v>
      </c>
      <c r="H4" s="2" t="s">
        <v>44</v>
      </c>
      <c r="I4" s="2" t="s">
        <v>16</v>
      </c>
      <c r="J4" s="2" t="s">
        <v>12</v>
      </c>
      <c r="K4" s="2">
        <v>3</v>
      </c>
      <c r="L4" s="3" t="s">
        <v>20</v>
      </c>
      <c r="M4" s="2" t="str">
        <f>_xlfn.CONCAT(B4,"_",D4,"_",G4,"_", I4,K4)</f>
        <v>3_IKON_1_A3</v>
      </c>
    </row>
    <row r="5" spans="1:13" x14ac:dyDescent="0.2">
      <c r="A5" s="2" t="s">
        <v>30</v>
      </c>
      <c r="B5" s="2">
        <v>4</v>
      </c>
      <c r="C5" s="2">
        <v>1</v>
      </c>
      <c r="D5" s="2" t="s">
        <v>3</v>
      </c>
      <c r="E5" s="2" t="s">
        <v>5</v>
      </c>
      <c r="F5" s="2">
        <v>40</v>
      </c>
      <c r="G5" s="2">
        <v>1</v>
      </c>
      <c r="H5" s="2" t="s">
        <v>44</v>
      </c>
      <c r="I5" s="2" t="s">
        <v>16</v>
      </c>
      <c r="J5" s="2" t="s">
        <v>12</v>
      </c>
      <c r="K5" s="2">
        <v>4</v>
      </c>
      <c r="L5" s="3" t="s">
        <v>22</v>
      </c>
      <c r="M5" s="2" t="str">
        <f>_xlfn.CONCAT(B5,"_",D5,"_",G5,"_", I5,K5)</f>
        <v>4_IKON_1_A4</v>
      </c>
    </row>
    <row r="6" spans="1:13" x14ac:dyDescent="0.2">
      <c r="A6" s="2" t="s">
        <v>30</v>
      </c>
      <c r="B6" s="2">
        <v>5</v>
      </c>
      <c r="C6" s="2">
        <v>1</v>
      </c>
      <c r="D6" s="2" t="s">
        <v>3</v>
      </c>
      <c r="E6" s="2" t="s">
        <v>5</v>
      </c>
      <c r="F6" s="2">
        <v>40</v>
      </c>
      <c r="G6" s="2">
        <v>1</v>
      </c>
      <c r="H6" s="2" t="s">
        <v>44</v>
      </c>
      <c r="I6" s="2" t="s">
        <v>16</v>
      </c>
      <c r="J6" s="2" t="s">
        <v>12</v>
      </c>
      <c r="K6" s="2">
        <v>5</v>
      </c>
      <c r="L6" s="3" t="s">
        <v>24</v>
      </c>
      <c r="M6" s="2" t="str">
        <f>_xlfn.CONCAT(B6,"_",D6,"_",G6,"_", I6,K6)</f>
        <v>5_IKON_1_A5</v>
      </c>
    </row>
    <row r="7" spans="1:13" x14ac:dyDescent="0.2">
      <c r="A7" s="2" t="s">
        <v>30</v>
      </c>
      <c r="B7" s="2">
        <v>6</v>
      </c>
      <c r="C7" s="2">
        <v>1</v>
      </c>
      <c r="D7" s="2" t="s">
        <v>3</v>
      </c>
      <c r="E7" s="2" t="s">
        <v>5</v>
      </c>
      <c r="F7" s="2">
        <v>40</v>
      </c>
      <c r="G7" s="2">
        <v>1</v>
      </c>
      <c r="H7" s="2" t="s">
        <v>44</v>
      </c>
      <c r="I7" s="2" t="s">
        <v>16</v>
      </c>
      <c r="J7" s="2" t="s">
        <v>12</v>
      </c>
      <c r="K7" s="2">
        <v>6</v>
      </c>
      <c r="L7" s="3" t="s">
        <v>42</v>
      </c>
      <c r="M7" s="2" t="str">
        <f>_xlfn.CONCAT(B7,"_",D7,"_",G7,"_", I7,K7)</f>
        <v>6_IKON_1_A6</v>
      </c>
    </row>
    <row r="8" spans="1:13" x14ac:dyDescent="0.2">
      <c r="A8" s="4" t="s">
        <v>30</v>
      </c>
      <c r="B8" s="4">
        <v>7</v>
      </c>
      <c r="C8" s="4">
        <v>1</v>
      </c>
      <c r="D8" s="4" t="s">
        <v>3</v>
      </c>
      <c r="E8" s="4" t="s">
        <v>5</v>
      </c>
      <c r="F8" s="4">
        <v>40</v>
      </c>
      <c r="G8" s="4">
        <v>2</v>
      </c>
      <c r="H8" s="4" t="s">
        <v>45</v>
      </c>
      <c r="I8" s="4" t="s">
        <v>16</v>
      </c>
      <c r="J8" s="4" t="s">
        <v>12</v>
      </c>
      <c r="K8" s="4">
        <v>1</v>
      </c>
      <c r="L8" s="4" t="s">
        <v>14</v>
      </c>
      <c r="M8" s="4" t="str">
        <f>_xlfn.CONCAT(B8,"_",D8,"_",G8,"_", I8,K8)</f>
        <v>7_IKON_2_A1</v>
      </c>
    </row>
    <row r="9" spans="1:13" x14ac:dyDescent="0.2">
      <c r="A9" s="4" t="s">
        <v>30</v>
      </c>
      <c r="B9" s="4">
        <v>8</v>
      </c>
      <c r="C9" s="4">
        <v>1</v>
      </c>
      <c r="D9" s="4" t="s">
        <v>3</v>
      </c>
      <c r="E9" s="4" t="s">
        <v>5</v>
      </c>
      <c r="F9" s="4">
        <v>40</v>
      </c>
      <c r="G9" s="4">
        <v>2</v>
      </c>
      <c r="H9" s="4" t="s">
        <v>45</v>
      </c>
      <c r="I9" s="4" t="s">
        <v>16</v>
      </c>
      <c r="J9" s="4" t="s">
        <v>12</v>
      </c>
      <c r="K9" s="4">
        <v>2</v>
      </c>
      <c r="L9" s="5" t="s">
        <v>19</v>
      </c>
      <c r="M9" s="4" t="str">
        <f>_xlfn.CONCAT(B9,"_",D9,"_",G9,"_", I9,K9)</f>
        <v>8_IKON_2_A2</v>
      </c>
    </row>
    <row r="10" spans="1:13" x14ac:dyDescent="0.2">
      <c r="A10" s="4" t="s">
        <v>30</v>
      </c>
      <c r="B10" s="4">
        <v>9</v>
      </c>
      <c r="C10" s="4">
        <v>1</v>
      </c>
      <c r="D10" s="4" t="s">
        <v>3</v>
      </c>
      <c r="E10" s="4" t="s">
        <v>5</v>
      </c>
      <c r="F10" s="4">
        <v>40</v>
      </c>
      <c r="G10" s="4">
        <v>2</v>
      </c>
      <c r="H10" s="4" t="s">
        <v>45</v>
      </c>
      <c r="I10" s="4" t="s">
        <v>16</v>
      </c>
      <c r="J10" s="4" t="s">
        <v>12</v>
      </c>
      <c r="K10" s="4">
        <v>3</v>
      </c>
      <c r="L10" s="5" t="s">
        <v>20</v>
      </c>
      <c r="M10" s="4" t="str">
        <f>_xlfn.CONCAT(B10,"_",D10,"_",G10,"_", I10,K10)</f>
        <v>9_IKON_2_A3</v>
      </c>
    </row>
    <row r="11" spans="1:13" x14ac:dyDescent="0.2">
      <c r="A11" s="4" t="s">
        <v>30</v>
      </c>
      <c r="B11" s="4">
        <v>10</v>
      </c>
      <c r="C11" s="4">
        <v>1</v>
      </c>
      <c r="D11" s="4" t="s">
        <v>3</v>
      </c>
      <c r="E11" s="4" t="s">
        <v>5</v>
      </c>
      <c r="F11" s="4">
        <v>40</v>
      </c>
      <c r="G11" s="4">
        <v>2</v>
      </c>
      <c r="H11" s="4" t="s">
        <v>45</v>
      </c>
      <c r="I11" s="4" t="s">
        <v>16</v>
      </c>
      <c r="J11" s="4" t="s">
        <v>12</v>
      </c>
      <c r="K11" s="4">
        <v>4</v>
      </c>
      <c r="L11" s="5" t="s">
        <v>22</v>
      </c>
      <c r="M11" s="4" t="str">
        <f>_xlfn.CONCAT(B11,"_",D11,"_",G11,"_", I11,K11)</f>
        <v>10_IKON_2_A4</v>
      </c>
    </row>
    <row r="12" spans="1:13" x14ac:dyDescent="0.2">
      <c r="A12" s="4" t="s">
        <v>30</v>
      </c>
      <c r="B12" s="4">
        <v>11</v>
      </c>
      <c r="C12" s="4">
        <v>1</v>
      </c>
      <c r="D12" s="4" t="s">
        <v>3</v>
      </c>
      <c r="E12" s="4" t="s">
        <v>5</v>
      </c>
      <c r="F12" s="4">
        <v>40</v>
      </c>
      <c r="G12" s="4">
        <v>2</v>
      </c>
      <c r="H12" s="4" t="s">
        <v>45</v>
      </c>
      <c r="I12" s="4" t="s">
        <v>16</v>
      </c>
      <c r="J12" s="4" t="s">
        <v>12</v>
      </c>
      <c r="K12" s="4">
        <v>5</v>
      </c>
      <c r="L12" s="5" t="s">
        <v>24</v>
      </c>
      <c r="M12" s="4" t="str">
        <f>_xlfn.CONCAT(B12,"_",D12,"_",G12,"_", I12,K12)</f>
        <v>11_IKON_2_A5</v>
      </c>
    </row>
    <row r="13" spans="1:13" x14ac:dyDescent="0.2">
      <c r="A13" s="4" t="s">
        <v>30</v>
      </c>
      <c r="B13" s="4">
        <v>12</v>
      </c>
      <c r="C13" s="4">
        <v>1</v>
      </c>
      <c r="D13" s="4" t="s">
        <v>3</v>
      </c>
      <c r="E13" s="4" t="s">
        <v>5</v>
      </c>
      <c r="F13" s="4">
        <v>40</v>
      </c>
      <c r="G13" s="4">
        <v>2</v>
      </c>
      <c r="H13" s="4" t="s">
        <v>45</v>
      </c>
      <c r="I13" s="4" t="s">
        <v>16</v>
      </c>
      <c r="J13" s="4" t="s">
        <v>12</v>
      </c>
      <c r="K13" s="4">
        <v>6</v>
      </c>
      <c r="L13" s="5" t="s">
        <v>42</v>
      </c>
      <c r="M13" s="4" t="str">
        <f>_xlfn.CONCAT(B13,"_",D13,"_",G13,"_", I13,K13)</f>
        <v>12_IKON_2_A6</v>
      </c>
    </row>
    <row r="14" spans="1:13" x14ac:dyDescent="0.2">
      <c r="A14" s="2" t="s">
        <v>30</v>
      </c>
      <c r="B14" s="2">
        <v>13</v>
      </c>
      <c r="C14" s="2">
        <v>1</v>
      </c>
      <c r="D14" s="2" t="s">
        <v>3</v>
      </c>
      <c r="E14" s="2" t="s">
        <v>5</v>
      </c>
      <c r="F14" s="2">
        <v>40</v>
      </c>
      <c r="G14" s="2">
        <v>3</v>
      </c>
      <c r="H14" s="2" t="s">
        <v>46</v>
      </c>
      <c r="I14" s="2" t="s">
        <v>16</v>
      </c>
      <c r="J14" s="2" t="s">
        <v>12</v>
      </c>
      <c r="K14" s="2">
        <v>1</v>
      </c>
      <c r="L14" s="2" t="s">
        <v>14</v>
      </c>
      <c r="M14" s="2" t="str">
        <f>_xlfn.CONCAT(B14,"_",D14,"_",G14,"_", I14,K14)</f>
        <v>13_IKON_3_A1</v>
      </c>
    </row>
    <row r="15" spans="1:13" x14ac:dyDescent="0.2">
      <c r="A15" s="2" t="s">
        <v>30</v>
      </c>
      <c r="B15" s="2">
        <v>14</v>
      </c>
      <c r="C15" s="2">
        <v>1</v>
      </c>
      <c r="D15" s="2" t="s">
        <v>3</v>
      </c>
      <c r="E15" s="2" t="s">
        <v>5</v>
      </c>
      <c r="F15" s="2">
        <v>40</v>
      </c>
      <c r="G15" s="2">
        <v>3</v>
      </c>
      <c r="H15" s="2" t="s">
        <v>46</v>
      </c>
      <c r="I15" s="2" t="s">
        <v>16</v>
      </c>
      <c r="J15" s="2" t="s">
        <v>12</v>
      </c>
      <c r="K15" s="2">
        <v>2</v>
      </c>
      <c r="L15" s="3" t="s">
        <v>19</v>
      </c>
      <c r="M15" s="2" t="str">
        <f>_xlfn.CONCAT(B15,"_",D15,"_",G15,"_", I15,K15)</f>
        <v>14_IKON_3_A2</v>
      </c>
    </row>
    <row r="16" spans="1:13" x14ac:dyDescent="0.2">
      <c r="A16" s="2" t="s">
        <v>30</v>
      </c>
      <c r="B16" s="2">
        <v>15</v>
      </c>
      <c r="C16" s="2">
        <v>1</v>
      </c>
      <c r="D16" s="2" t="s">
        <v>3</v>
      </c>
      <c r="E16" s="2" t="s">
        <v>5</v>
      </c>
      <c r="F16" s="2">
        <v>40</v>
      </c>
      <c r="G16" s="2">
        <v>3</v>
      </c>
      <c r="H16" s="2" t="s">
        <v>46</v>
      </c>
      <c r="I16" s="2" t="s">
        <v>16</v>
      </c>
      <c r="J16" s="2" t="s">
        <v>12</v>
      </c>
      <c r="K16" s="2">
        <v>3</v>
      </c>
      <c r="L16" s="3" t="s">
        <v>20</v>
      </c>
      <c r="M16" s="2" t="str">
        <f>_xlfn.CONCAT(B16,"_",D16,"_",G16,"_", I16,K16)</f>
        <v>15_IKON_3_A3</v>
      </c>
    </row>
    <row r="17" spans="1:13" x14ac:dyDescent="0.2">
      <c r="A17" s="2" t="s">
        <v>30</v>
      </c>
      <c r="B17" s="2">
        <v>16</v>
      </c>
      <c r="C17" s="2">
        <v>1</v>
      </c>
      <c r="D17" s="2" t="s">
        <v>3</v>
      </c>
      <c r="E17" s="2" t="s">
        <v>5</v>
      </c>
      <c r="F17" s="2">
        <v>40</v>
      </c>
      <c r="G17" s="2">
        <v>3</v>
      </c>
      <c r="H17" s="2" t="s">
        <v>46</v>
      </c>
      <c r="I17" s="2" t="s">
        <v>16</v>
      </c>
      <c r="J17" s="2" t="s">
        <v>12</v>
      </c>
      <c r="K17" s="2">
        <v>4</v>
      </c>
      <c r="L17" s="3" t="s">
        <v>22</v>
      </c>
      <c r="M17" s="2" t="str">
        <f>_xlfn.CONCAT(B17,"_",D17,"_",G17,"_", I17,K17)</f>
        <v>16_IKON_3_A4</v>
      </c>
    </row>
    <row r="18" spans="1:13" x14ac:dyDescent="0.2">
      <c r="A18" s="2" t="s">
        <v>30</v>
      </c>
      <c r="B18" s="2">
        <v>17</v>
      </c>
      <c r="C18" s="2">
        <v>1</v>
      </c>
      <c r="D18" s="2" t="s">
        <v>3</v>
      </c>
      <c r="E18" s="2" t="s">
        <v>5</v>
      </c>
      <c r="F18" s="2">
        <v>40</v>
      </c>
      <c r="G18" s="2">
        <v>3</v>
      </c>
      <c r="H18" s="2" t="s">
        <v>46</v>
      </c>
      <c r="I18" s="2" t="s">
        <v>16</v>
      </c>
      <c r="J18" s="2" t="s">
        <v>12</v>
      </c>
      <c r="K18" s="2">
        <v>5</v>
      </c>
      <c r="L18" s="3" t="s">
        <v>24</v>
      </c>
      <c r="M18" s="2" t="str">
        <f>_xlfn.CONCAT(B18,"_",D18,"_",G18,"_", I18,K18)</f>
        <v>17_IKON_3_A5</v>
      </c>
    </row>
    <row r="19" spans="1:13" x14ac:dyDescent="0.2">
      <c r="A19" s="2" t="s">
        <v>30</v>
      </c>
      <c r="B19" s="2">
        <v>18</v>
      </c>
      <c r="C19" s="2">
        <v>1</v>
      </c>
      <c r="D19" s="2" t="s">
        <v>3</v>
      </c>
      <c r="E19" s="2" t="s">
        <v>5</v>
      </c>
      <c r="F19" s="2">
        <v>40</v>
      </c>
      <c r="G19" s="2">
        <v>3</v>
      </c>
      <c r="H19" s="2" t="s">
        <v>46</v>
      </c>
      <c r="I19" s="2" t="s">
        <v>16</v>
      </c>
      <c r="J19" s="2" t="s">
        <v>12</v>
      </c>
      <c r="K19" s="2">
        <v>6</v>
      </c>
      <c r="L19" s="3" t="s">
        <v>42</v>
      </c>
      <c r="M19" s="2" t="str">
        <f>_xlfn.CONCAT(B19,"_",D19,"_",G19,"_", I19,K19)</f>
        <v>18_IKON_3_A6</v>
      </c>
    </row>
    <row r="20" spans="1:13" x14ac:dyDescent="0.2">
      <c r="A20" s="4" t="s">
        <v>30</v>
      </c>
      <c r="B20" s="4">
        <v>19</v>
      </c>
      <c r="C20" s="4">
        <v>1</v>
      </c>
      <c r="D20" s="4" t="s">
        <v>3</v>
      </c>
      <c r="E20" s="4" t="s">
        <v>5</v>
      </c>
      <c r="F20" s="4">
        <v>40</v>
      </c>
      <c r="G20" s="4">
        <v>4</v>
      </c>
      <c r="H20" s="4" t="s">
        <v>47</v>
      </c>
      <c r="I20" s="4" t="s">
        <v>16</v>
      </c>
      <c r="J20" s="4" t="s">
        <v>12</v>
      </c>
      <c r="K20" s="4">
        <v>1</v>
      </c>
      <c r="L20" s="4" t="s">
        <v>14</v>
      </c>
      <c r="M20" s="4" t="str">
        <f>_xlfn.CONCAT(B20,"_",D20,"_",G20,"_", I20,K20)</f>
        <v>19_IKON_4_A1</v>
      </c>
    </row>
    <row r="21" spans="1:13" x14ac:dyDescent="0.2">
      <c r="A21" s="4" t="s">
        <v>30</v>
      </c>
      <c r="B21" s="4">
        <v>20</v>
      </c>
      <c r="C21" s="4">
        <v>1</v>
      </c>
      <c r="D21" s="4" t="s">
        <v>3</v>
      </c>
      <c r="E21" s="4" t="s">
        <v>5</v>
      </c>
      <c r="F21" s="4">
        <v>40</v>
      </c>
      <c r="G21" s="4">
        <v>4</v>
      </c>
      <c r="H21" s="4" t="s">
        <v>47</v>
      </c>
      <c r="I21" s="4" t="s">
        <v>16</v>
      </c>
      <c r="J21" s="4" t="s">
        <v>12</v>
      </c>
      <c r="K21" s="4">
        <v>2</v>
      </c>
      <c r="L21" s="5" t="s">
        <v>19</v>
      </c>
      <c r="M21" s="4" t="str">
        <f>_xlfn.CONCAT(B21,"_",D21,"_",G21,"_", I21,K21)</f>
        <v>20_IKON_4_A2</v>
      </c>
    </row>
    <row r="22" spans="1:13" x14ac:dyDescent="0.2">
      <c r="A22" s="4" t="s">
        <v>30</v>
      </c>
      <c r="B22" s="4">
        <v>21</v>
      </c>
      <c r="C22" s="4">
        <v>1</v>
      </c>
      <c r="D22" s="4" t="s">
        <v>3</v>
      </c>
      <c r="E22" s="4" t="s">
        <v>5</v>
      </c>
      <c r="F22" s="4">
        <v>40</v>
      </c>
      <c r="G22" s="4">
        <v>4</v>
      </c>
      <c r="H22" s="4" t="s">
        <v>47</v>
      </c>
      <c r="I22" s="4" t="s">
        <v>16</v>
      </c>
      <c r="J22" s="4" t="s">
        <v>12</v>
      </c>
      <c r="K22" s="4">
        <v>3</v>
      </c>
      <c r="L22" s="5" t="s">
        <v>20</v>
      </c>
      <c r="M22" s="4" t="str">
        <f>_xlfn.CONCAT(B22,"_",D22,"_",G22,"_", I22,K22)</f>
        <v>21_IKON_4_A3</v>
      </c>
    </row>
    <row r="23" spans="1:13" x14ac:dyDescent="0.2">
      <c r="A23" s="4" t="s">
        <v>30</v>
      </c>
      <c r="B23" s="4">
        <v>22</v>
      </c>
      <c r="C23" s="4">
        <v>1</v>
      </c>
      <c r="D23" s="4" t="s">
        <v>3</v>
      </c>
      <c r="E23" s="4" t="s">
        <v>5</v>
      </c>
      <c r="F23" s="4">
        <v>40</v>
      </c>
      <c r="G23" s="4">
        <v>4</v>
      </c>
      <c r="H23" s="4" t="s">
        <v>47</v>
      </c>
      <c r="I23" s="4" t="s">
        <v>16</v>
      </c>
      <c r="J23" s="4" t="s">
        <v>12</v>
      </c>
      <c r="K23" s="4">
        <v>4</v>
      </c>
      <c r="L23" s="5" t="s">
        <v>22</v>
      </c>
      <c r="M23" s="4" t="str">
        <f>_xlfn.CONCAT(B23,"_",D23,"_",G23,"_", I23,K23)</f>
        <v>22_IKON_4_A4</v>
      </c>
    </row>
    <row r="24" spans="1:13" x14ac:dyDescent="0.2">
      <c r="A24" s="4" t="s">
        <v>30</v>
      </c>
      <c r="B24" s="4">
        <v>23</v>
      </c>
      <c r="C24" s="4">
        <v>1</v>
      </c>
      <c r="D24" s="4" t="s">
        <v>3</v>
      </c>
      <c r="E24" s="4" t="s">
        <v>5</v>
      </c>
      <c r="F24" s="4">
        <v>40</v>
      </c>
      <c r="G24" s="4">
        <v>4</v>
      </c>
      <c r="H24" s="4" t="s">
        <v>47</v>
      </c>
      <c r="I24" s="4" t="s">
        <v>16</v>
      </c>
      <c r="J24" s="4" t="s">
        <v>12</v>
      </c>
      <c r="K24" s="4">
        <v>5</v>
      </c>
      <c r="L24" s="5" t="s">
        <v>24</v>
      </c>
      <c r="M24" s="4" t="str">
        <f>_xlfn.CONCAT(B24,"_",D24,"_",G24,"_", I24,K24)</f>
        <v>23_IKON_4_A5</v>
      </c>
    </row>
    <row r="25" spans="1:13" x14ac:dyDescent="0.2">
      <c r="A25" s="4" t="s">
        <v>30</v>
      </c>
      <c r="B25" s="4">
        <v>24</v>
      </c>
      <c r="C25" s="4">
        <v>1</v>
      </c>
      <c r="D25" s="4" t="s">
        <v>3</v>
      </c>
      <c r="E25" s="4" t="s">
        <v>5</v>
      </c>
      <c r="F25" s="4">
        <v>40</v>
      </c>
      <c r="G25" s="4">
        <v>4</v>
      </c>
      <c r="H25" s="4" t="s">
        <v>47</v>
      </c>
      <c r="I25" s="4" t="s">
        <v>16</v>
      </c>
      <c r="J25" s="4" t="s">
        <v>12</v>
      </c>
      <c r="K25" s="4">
        <v>6</v>
      </c>
      <c r="L25" s="5" t="s">
        <v>42</v>
      </c>
      <c r="M25" s="4" t="str">
        <f>_xlfn.CONCAT(B25,"_",D25,"_",G25,"_", I25,K25)</f>
        <v>24_IKON_4_A6</v>
      </c>
    </row>
    <row r="26" spans="1:13" x14ac:dyDescent="0.2">
      <c r="A26" s="2" t="s">
        <v>30</v>
      </c>
      <c r="B26" s="2">
        <v>25</v>
      </c>
      <c r="C26" s="2">
        <v>1</v>
      </c>
      <c r="D26" s="2" t="s">
        <v>3</v>
      </c>
      <c r="E26" s="2" t="s">
        <v>5</v>
      </c>
      <c r="F26" s="2">
        <v>40</v>
      </c>
      <c r="G26" s="2">
        <v>5</v>
      </c>
      <c r="H26" s="2" t="s">
        <v>48</v>
      </c>
      <c r="I26" s="2" t="s">
        <v>16</v>
      </c>
      <c r="J26" s="2" t="s">
        <v>12</v>
      </c>
      <c r="K26" s="2">
        <v>1</v>
      </c>
      <c r="L26" s="2" t="s">
        <v>14</v>
      </c>
      <c r="M26" s="2" t="str">
        <f>_xlfn.CONCAT(B26,"_",D26,"_",G26,"_", I26,K26)</f>
        <v>25_IKON_5_A1</v>
      </c>
    </row>
    <row r="27" spans="1:13" x14ac:dyDescent="0.2">
      <c r="A27" s="2" t="s">
        <v>30</v>
      </c>
      <c r="B27" s="2">
        <v>26</v>
      </c>
      <c r="C27" s="2">
        <v>1</v>
      </c>
      <c r="D27" s="2" t="s">
        <v>3</v>
      </c>
      <c r="E27" s="2" t="s">
        <v>5</v>
      </c>
      <c r="F27" s="2">
        <v>40</v>
      </c>
      <c r="G27" s="2">
        <v>5</v>
      </c>
      <c r="H27" s="2" t="s">
        <v>48</v>
      </c>
      <c r="I27" s="2" t="s">
        <v>16</v>
      </c>
      <c r="J27" s="2" t="s">
        <v>12</v>
      </c>
      <c r="K27" s="2">
        <v>2</v>
      </c>
      <c r="L27" s="3" t="s">
        <v>19</v>
      </c>
      <c r="M27" s="2" t="str">
        <f>_xlfn.CONCAT(B27,"_",D27,"_",G27,"_", I27,K27)</f>
        <v>26_IKON_5_A2</v>
      </c>
    </row>
    <row r="28" spans="1:13" x14ac:dyDescent="0.2">
      <c r="A28" s="2" t="s">
        <v>30</v>
      </c>
      <c r="B28" s="2">
        <v>27</v>
      </c>
      <c r="C28" s="2">
        <v>1</v>
      </c>
      <c r="D28" s="2" t="s">
        <v>3</v>
      </c>
      <c r="E28" s="2" t="s">
        <v>5</v>
      </c>
      <c r="F28" s="2">
        <v>40</v>
      </c>
      <c r="G28" s="2">
        <v>5</v>
      </c>
      <c r="H28" s="2" t="s">
        <v>48</v>
      </c>
      <c r="I28" s="2" t="s">
        <v>16</v>
      </c>
      <c r="J28" s="2" t="s">
        <v>12</v>
      </c>
      <c r="K28" s="2">
        <v>3</v>
      </c>
      <c r="L28" s="3" t="s">
        <v>20</v>
      </c>
      <c r="M28" s="2" t="str">
        <f>_xlfn.CONCAT(B28,"_",D28,"_",G28,"_", I28,K28)</f>
        <v>27_IKON_5_A3</v>
      </c>
    </row>
    <row r="29" spans="1:13" x14ac:dyDescent="0.2">
      <c r="A29" s="2" t="s">
        <v>30</v>
      </c>
      <c r="B29" s="2">
        <v>28</v>
      </c>
      <c r="C29" s="2">
        <v>1</v>
      </c>
      <c r="D29" s="2" t="s">
        <v>3</v>
      </c>
      <c r="E29" s="2" t="s">
        <v>5</v>
      </c>
      <c r="F29" s="2">
        <v>40</v>
      </c>
      <c r="G29" s="2">
        <v>5</v>
      </c>
      <c r="H29" s="2" t="s">
        <v>48</v>
      </c>
      <c r="I29" s="2" t="s">
        <v>16</v>
      </c>
      <c r="J29" s="2" t="s">
        <v>12</v>
      </c>
      <c r="K29" s="2">
        <v>4</v>
      </c>
      <c r="L29" s="3" t="s">
        <v>22</v>
      </c>
      <c r="M29" s="2" t="str">
        <f>_xlfn.CONCAT(B29,"_",D29,"_",G29,"_", I29,K29)</f>
        <v>28_IKON_5_A4</v>
      </c>
    </row>
    <row r="30" spans="1:13" x14ac:dyDescent="0.2">
      <c r="A30" s="2" t="s">
        <v>30</v>
      </c>
      <c r="B30" s="2">
        <v>29</v>
      </c>
      <c r="C30" s="2">
        <v>1</v>
      </c>
      <c r="D30" s="2" t="s">
        <v>3</v>
      </c>
      <c r="E30" s="2" t="s">
        <v>5</v>
      </c>
      <c r="F30" s="2">
        <v>40</v>
      </c>
      <c r="G30" s="2">
        <v>5</v>
      </c>
      <c r="H30" s="2" t="s">
        <v>48</v>
      </c>
      <c r="I30" s="2" t="s">
        <v>16</v>
      </c>
      <c r="J30" s="2" t="s">
        <v>12</v>
      </c>
      <c r="K30" s="2">
        <v>5</v>
      </c>
      <c r="L30" s="3" t="s">
        <v>24</v>
      </c>
      <c r="M30" s="2" t="str">
        <f>_xlfn.CONCAT(B30,"_",D30,"_",G30,"_", I30,K30)</f>
        <v>29_IKON_5_A5</v>
      </c>
    </row>
    <row r="31" spans="1:13" x14ac:dyDescent="0.2">
      <c r="A31" s="2" t="s">
        <v>30</v>
      </c>
      <c r="B31" s="2">
        <v>30</v>
      </c>
      <c r="C31" s="2">
        <v>1</v>
      </c>
      <c r="D31" s="2" t="s">
        <v>3</v>
      </c>
      <c r="E31" s="2" t="s">
        <v>5</v>
      </c>
      <c r="F31" s="2">
        <v>40</v>
      </c>
      <c r="G31" s="2">
        <v>5</v>
      </c>
      <c r="H31" s="2" t="s">
        <v>48</v>
      </c>
      <c r="I31" s="2" t="s">
        <v>16</v>
      </c>
      <c r="J31" s="2" t="s">
        <v>12</v>
      </c>
      <c r="K31" s="2">
        <v>6</v>
      </c>
      <c r="L31" s="3" t="s">
        <v>42</v>
      </c>
      <c r="M31" s="2" t="str">
        <f>_xlfn.CONCAT(B31,"_",D31,"_",G31,"_", I31,K31)</f>
        <v>30_IKON_5_A6</v>
      </c>
    </row>
    <row r="32" spans="1:13" x14ac:dyDescent="0.2">
      <c r="A32" s="4" t="s">
        <v>30</v>
      </c>
      <c r="B32" s="4">
        <v>31</v>
      </c>
      <c r="C32" s="4">
        <v>1</v>
      </c>
      <c r="D32" s="4" t="s">
        <v>3</v>
      </c>
      <c r="E32" s="4" t="s">
        <v>5</v>
      </c>
      <c r="F32" s="4">
        <v>40</v>
      </c>
      <c r="G32" s="4" t="s">
        <v>41</v>
      </c>
      <c r="H32" s="4"/>
      <c r="I32" s="4" t="s">
        <v>16</v>
      </c>
      <c r="J32" s="4" t="s">
        <v>12</v>
      </c>
      <c r="K32" s="4">
        <v>1</v>
      </c>
      <c r="L32" s="4" t="s">
        <v>14</v>
      </c>
      <c r="M32" s="4" t="str">
        <f>_xlfn.CONCAT(B32,"_",D32,"_",G32,"_", I32,K32)</f>
        <v>31_IKON_EX_A1</v>
      </c>
    </row>
    <row r="33" spans="1:13" x14ac:dyDescent="0.2">
      <c r="A33" s="4" t="s">
        <v>30</v>
      </c>
      <c r="B33" s="4">
        <v>32</v>
      </c>
      <c r="C33" s="4">
        <v>1</v>
      </c>
      <c r="D33" s="4" t="s">
        <v>3</v>
      </c>
      <c r="E33" s="4" t="s">
        <v>5</v>
      </c>
      <c r="F33" s="4">
        <v>40</v>
      </c>
      <c r="G33" s="4" t="s">
        <v>41</v>
      </c>
      <c r="H33" s="4"/>
      <c r="I33" s="4" t="s">
        <v>16</v>
      </c>
      <c r="J33" s="4" t="s">
        <v>12</v>
      </c>
      <c r="K33" s="4">
        <v>2</v>
      </c>
      <c r="L33" s="5" t="s">
        <v>19</v>
      </c>
      <c r="M33" s="4" t="str">
        <f>_xlfn.CONCAT(B33,"_",D33,"_",G33,"_", I33,K33)</f>
        <v>32_IKON_EX_A2</v>
      </c>
    </row>
    <row r="34" spans="1:13" x14ac:dyDescent="0.2">
      <c r="A34" s="4" t="s">
        <v>30</v>
      </c>
      <c r="B34" s="4">
        <v>33</v>
      </c>
      <c r="C34" s="4">
        <v>1</v>
      </c>
      <c r="D34" s="4" t="s">
        <v>3</v>
      </c>
      <c r="E34" s="4" t="s">
        <v>5</v>
      </c>
      <c r="F34" s="4">
        <v>40</v>
      </c>
      <c r="G34" s="4" t="s">
        <v>41</v>
      </c>
      <c r="H34" s="4"/>
      <c r="I34" s="4" t="s">
        <v>16</v>
      </c>
      <c r="J34" s="4" t="s">
        <v>12</v>
      </c>
      <c r="K34" s="4">
        <v>3</v>
      </c>
      <c r="L34" s="5" t="s">
        <v>20</v>
      </c>
      <c r="M34" s="4" t="str">
        <f>_xlfn.CONCAT(B34,"_",D34,"_",G34,"_", I34,K34)</f>
        <v>33_IKON_EX_A3</v>
      </c>
    </row>
    <row r="35" spans="1:13" x14ac:dyDescent="0.2">
      <c r="A35" s="4" t="s">
        <v>30</v>
      </c>
      <c r="B35" s="4">
        <v>34</v>
      </c>
      <c r="C35" s="4">
        <v>1</v>
      </c>
      <c r="D35" s="4" t="s">
        <v>3</v>
      </c>
      <c r="E35" s="4" t="s">
        <v>5</v>
      </c>
      <c r="F35" s="4">
        <v>40</v>
      </c>
      <c r="G35" s="4" t="s">
        <v>41</v>
      </c>
      <c r="H35" s="4"/>
      <c r="I35" s="4" t="s">
        <v>16</v>
      </c>
      <c r="J35" s="4" t="s">
        <v>12</v>
      </c>
      <c r="K35" s="4">
        <v>4</v>
      </c>
      <c r="L35" s="5" t="s">
        <v>22</v>
      </c>
      <c r="M35" s="4" t="str">
        <f>_xlfn.CONCAT(B35,"_",D35,"_",G35,"_", I35,K35)</f>
        <v>34_IKON_EX_A4</v>
      </c>
    </row>
    <row r="36" spans="1:13" x14ac:dyDescent="0.2">
      <c r="A36" s="4" t="s">
        <v>30</v>
      </c>
      <c r="B36" s="4">
        <v>35</v>
      </c>
      <c r="C36" s="4">
        <v>1</v>
      </c>
      <c r="D36" s="4" t="s">
        <v>3</v>
      </c>
      <c r="E36" s="4" t="s">
        <v>5</v>
      </c>
      <c r="F36" s="4">
        <v>40</v>
      </c>
      <c r="G36" s="4" t="s">
        <v>41</v>
      </c>
      <c r="H36" s="4"/>
      <c r="I36" s="4" t="s">
        <v>16</v>
      </c>
      <c r="J36" s="4" t="s">
        <v>12</v>
      </c>
      <c r="K36" s="4">
        <v>5</v>
      </c>
      <c r="L36" s="5" t="s">
        <v>24</v>
      </c>
      <c r="M36" s="4" t="str">
        <f>_xlfn.CONCAT(B36,"_",D36,"_",G36,"_", I36,K36)</f>
        <v>35_IKON_EX_A5</v>
      </c>
    </row>
    <row r="37" spans="1:13" x14ac:dyDescent="0.2">
      <c r="A37" s="4" t="s">
        <v>30</v>
      </c>
      <c r="B37" s="4">
        <v>36</v>
      </c>
      <c r="C37" s="4">
        <v>1</v>
      </c>
      <c r="D37" s="4" t="s">
        <v>3</v>
      </c>
      <c r="E37" s="4" t="s">
        <v>5</v>
      </c>
      <c r="F37" s="4">
        <v>40</v>
      </c>
      <c r="G37" s="4" t="s">
        <v>41</v>
      </c>
      <c r="H37" s="4"/>
      <c r="I37" s="4" t="s">
        <v>16</v>
      </c>
      <c r="J37" s="4" t="s">
        <v>12</v>
      </c>
      <c r="K37" s="4">
        <v>6</v>
      </c>
      <c r="L37" s="5" t="s">
        <v>42</v>
      </c>
      <c r="M37" s="4" t="str">
        <f>_xlfn.CONCAT(B37,"_",D37,"_",G37,"_", I37,K37)</f>
        <v>36_IKON_EX_A6</v>
      </c>
    </row>
    <row r="38" spans="1:13" x14ac:dyDescent="0.2">
      <c r="A38" s="2" t="s">
        <v>30</v>
      </c>
      <c r="B38" s="2">
        <v>37</v>
      </c>
      <c r="C38" s="2">
        <v>2</v>
      </c>
      <c r="D38" s="2" t="s">
        <v>2</v>
      </c>
      <c r="E38" s="2" t="s">
        <v>4</v>
      </c>
      <c r="F38" s="2">
        <v>40</v>
      </c>
      <c r="G38" s="2">
        <v>1</v>
      </c>
      <c r="H38" s="2" t="s">
        <v>44</v>
      </c>
      <c r="I38" s="2" t="s">
        <v>16</v>
      </c>
      <c r="J38" s="2" t="s">
        <v>12</v>
      </c>
      <c r="K38" s="2">
        <v>1</v>
      </c>
      <c r="L38" s="2" t="s">
        <v>14</v>
      </c>
      <c r="M38" s="2" t="str">
        <f>_xlfn.CONCAT(B38,"_",D38,"_",G38,"_", I38,K38)</f>
        <v>37_LAHE_1_A1</v>
      </c>
    </row>
    <row r="39" spans="1:13" x14ac:dyDescent="0.2">
      <c r="A39" s="2" t="s">
        <v>30</v>
      </c>
      <c r="B39" s="2">
        <v>38</v>
      </c>
      <c r="C39" s="2">
        <v>2</v>
      </c>
      <c r="D39" s="2" t="s">
        <v>2</v>
      </c>
      <c r="E39" s="2" t="s">
        <v>4</v>
      </c>
      <c r="F39" s="2">
        <v>40</v>
      </c>
      <c r="G39" s="2">
        <v>1</v>
      </c>
      <c r="H39" s="2" t="s">
        <v>44</v>
      </c>
      <c r="I39" s="2" t="s">
        <v>16</v>
      </c>
      <c r="J39" s="2" t="s">
        <v>12</v>
      </c>
      <c r="K39" s="2">
        <v>2</v>
      </c>
      <c r="L39" s="3" t="s">
        <v>19</v>
      </c>
      <c r="M39" s="2" t="str">
        <f>_xlfn.CONCAT(B39,"_",D39,"_",G39,"_", I39,K39)</f>
        <v>38_LAHE_1_A2</v>
      </c>
    </row>
    <row r="40" spans="1:13" x14ac:dyDescent="0.2">
      <c r="A40" s="2" t="s">
        <v>30</v>
      </c>
      <c r="B40" s="2">
        <v>39</v>
      </c>
      <c r="C40" s="2">
        <v>2</v>
      </c>
      <c r="D40" s="2" t="s">
        <v>2</v>
      </c>
      <c r="E40" s="2" t="s">
        <v>4</v>
      </c>
      <c r="F40" s="2">
        <v>40</v>
      </c>
      <c r="G40" s="2">
        <v>1</v>
      </c>
      <c r="H40" s="2" t="s">
        <v>44</v>
      </c>
      <c r="I40" s="2" t="s">
        <v>16</v>
      </c>
      <c r="J40" s="2" t="s">
        <v>12</v>
      </c>
      <c r="K40" s="2">
        <v>3</v>
      </c>
      <c r="L40" s="3" t="s">
        <v>20</v>
      </c>
      <c r="M40" s="2" t="str">
        <f>_xlfn.CONCAT(B40,"_",D40,"_",G40,"_", I40,K40)</f>
        <v>39_LAHE_1_A3</v>
      </c>
    </row>
    <row r="41" spans="1:13" x14ac:dyDescent="0.2">
      <c r="A41" s="2" t="s">
        <v>30</v>
      </c>
      <c r="B41" s="2">
        <v>40</v>
      </c>
      <c r="C41" s="2">
        <v>2</v>
      </c>
      <c r="D41" s="2" t="s">
        <v>2</v>
      </c>
      <c r="E41" s="2" t="s">
        <v>4</v>
      </c>
      <c r="F41" s="2">
        <v>40</v>
      </c>
      <c r="G41" s="2">
        <v>1</v>
      </c>
      <c r="H41" s="2" t="s">
        <v>44</v>
      </c>
      <c r="I41" s="2" t="s">
        <v>16</v>
      </c>
      <c r="J41" s="2" t="s">
        <v>12</v>
      </c>
      <c r="K41" s="2">
        <v>4</v>
      </c>
      <c r="L41" s="3" t="s">
        <v>22</v>
      </c>
      <c r="M41" s="2" t="str">
        <f>_xlfn.CONCAT(B41,"_",D41,"_",G41,"_", I41,K41)</f>
        <v>40_LAHE_1_A4</v>
      </c>
    </row>
    <row r="42" spans="1:13" x14ac:dyDescent="0.2">
      <c r="A42" s="2" t="s">
        <v>30</v>
      </c>
      <c r="B42" s="2">
        <v>41</v>
      </c>
      <c r="C42" s="2">
        <v>2</v>
      </c>
      <c r="D42" s="2" t="s">
        <v>2</v>
      </c>
      <c r="E42" s="2" t="s">
        <v>4</v>
      </c>
      <c r="F42" s="2">
        <v>40</v>
      </c>
      <c r="G42" s="2">
        <v>1</v>
      </c>
      <c r="H42" s="2" t="s">
        <v>44</v>
      </c>
      <c r="I42" s="2" t="s">
        <v>16</v>
      </c>
      <c r="J42" s="2" t="s">
        <v>12</v>
      </c>
      <c r="K42" s="2">
        <v>5</v>
      </c>
      <c r="L42" s="3" t="s">
        <v>24</v>
      </c>
      <c r="M42" s="2" t="str">
        <f>_xlfn.CONCAT(B42,"_",D42,"_",G42,"_", I42,K42)</f>
        <v>41_LAHE_1_A5</v>
      </c>
    </row>
    <row r="43" spans="1:13" x14ac:dyDescent="0.2">
      <c r="A43" s="2" t="s">
        <v>30</v>
      </c>
      <c r="B43" s="2">
        <v>42</v>
      </c>
      <c r="C43" s="2">
        <v>2</v>
      </c>
      <c r="D43" s="2" t="s">
        <v>2</v>
      </c>
      <c r="E43" s="2" t="s">
        <v>4</v>
      </c>
      <c r="F43" s="2">
        <v>40</v>
      </c>
      <c r="G43" s="2">
        <v>1</v>
      </c>
      <c r="H43" s="2" t="s">
        <v>44</v>
      </c>
      <c r="I43" s="2" t="s">
        <v>16</v>
      </c>
      <c r="J43" s="2" t="s">
        <v>12</v>
      </c>
      <c r="K43" s="2">
        <v>6</v>
      </c>
      <c r="L43" s="3" t="s">
        <v>42</v>
      </c>
      <c r="M43" s="2" t="str">
        <f>_xlfn.CONCAT(B43,"_",D43,"_",G43,"_", I43,K43)</f>
        <v>42_LAHE_1_A6</v>
      </c>
    </row>
    <row r="44" spans="1:13" x14ac:dyDescent="0.2">
      <c r="A44" s="4" t="s">
        <v>30</v>
      </c>
      <c r="B44" s="4">
        <v>43</v>
      </c>
      <c r="C44" s="4">
        <v>2</v>
      </c>
      <c r="D44" s="4" t="s">
        <v>2</v>
      </c>
      <c r="E44" s="4" t="s">
        <v>4</v>
      </c>
      <c r="F44" s="4">
        <v>40</v>
      </c>
      <c r="G44" s="4">
        <v>2</v>
      </c>
      <c r="H44" s="4" t="s">
        <v>45</v>
      </c>
      <c r="I44" s="4" t="s">
        <v>16</v>
      </c>
      <c r="J44" s="4" t="s">
        <v>12</v>
      </c>
      <c r="K44" s="4">
        <v>1</v>
      </c>
      <c r="L44" s="4" t="s">
        <v>14</v>
      </c>
      <c r="M44" s="4" t="str">
        <f>_xlfn.CONCAT(B44,"_",D44,"_",G44,"_", I44,K44)</f>
        <v>43_LAHE_2_A1</v>
      </c>
    </row>
    <row r="45" spans="1:13" x14ac:dyDescent="0.2">
      <c r="A45" s="4" t="s">
        <v>30</v>
      </c>
      <c r="B45" s="4">
        <v>44</v>
      </c>
      <c r="C45" s="4">
        <v>2</v>
      </c>
      <c r="D45" s="4" t="s">
        <v>2</v>
      </c>
      <c r="E45" s="4" t="s">
        <v>4</v>
      </c>
      <c r="F45" s="4">
        <v>40</v>
      </c>
      <c r="G45" s="4">
        <v>2</v>
      </c>
      <c r="H45" s="4" t="s">
        <v>45</v>
      </c>
      <c r="I45" s="4" t="s">
        <v>16</v>
      </c>
      <c r="J45" s="4" t="s">
        <v>12</v>
      </c>
      <c r="K45" s="4">
        <v>2</v>
      </c>
      <c r="L45" s="5" t="s">
        <v>19</v>
      </c>
      <c r="M45" s="4" t="str">
        <f>_xlfn.CONCAT(B45,"_",D45,"_",G45,"_", I45,K45)</f>
        <v>44_LAHE_2_A2</v>
      </c>
    </row>
    <row r="46" spans="1:13" x14ac:dyDescent="0.2">
      <c r="A46" s="4" t="s">
        <v>30</v>
      </c>
      <c r="B46" s="4">
        <v>45</v>
      </c>
      <c r="C46" s="4">
        <v>2</v>
      </c>
      <c r="D46" s="4" t="s">
        <v>2</v>
      </c>
      <c r="E46" s="4" t="s">
        <v>4</v>
      </c>
      <c r="F46" s="4">
        <v>40</v>
      </c>
      <c r="G46" s="4">
        <v>2</v>
      </c>
      <c r="H46" s="4" t="s">
        <v>45</v>
      </c>
      <c r="I46" s="4" t="s">
        <v>16</v>
      </c>
      <c r="J46" s="4" t="s">
        <v>12</v>
      </c>
      <c r="K46" s="4">
        <v>3</v>
      </c>
      <c r="L46" s="5" t="s">
        <v>20</v>
      </c>
      <c r="M46" s="4" t="str">
        <f>_xlfn.CONCAT(B46,"_",D46,"_",G46,"_", I46,K46)</f>
        <v>45_LAHE_2_A3</v>
      </c>
    </row>
    <row r="47" spans="1:13" x14ac:dyDescent="0.2">
      <c r="A47" s="4" t="s">
        <v>30</v>
      </c>
      <c r="B47" s="4">
        <v>46</v>
      </c>
      <c r="C47" s="4">
        <v>2</v>
      </c>
      <c r="D47" s="4" t="s">
        <v>2</v>
      </c>
      <c r="E47" s="4" t="s">
        <v>4</v>
      </c>
      <c r="F47" s="4">
        <v>40</v>
      </c>
      <c r="G47" s="4">
        <v>2</v>
      </c>
      <c r="H47" s="4" t="s">
        <v>45</v>
      </c>
      <c r="I47" s="4" t="s">
        <v>16</v>
      </c>
      <c r="J47" s="4" t="s">
        <v>12</v>
      </c>
      <c r="K47" s="4">
        <v>4</v>
      </c>
      <c r="L47" s="5" t="s">
        <v>22</v>
      </c>
      <c r="M47" s="4" t="str">
        <f>_xlfn.CONCAT(B47,"_",D47,"_",G47,"_", I47,K47)</f>
        <v>46_LAHE_2_A4</v>
      </c>
    </row>
    <row r="48" spans="1:13" x14ac:dyDescent="0.2">
      <c r="A48" s="4" t="s">
        <v>30</v>
      </c>
      <c r="B48" s="4">
        <v>47</v>
      </c>
      <c r="C48" s="4">
        <v>2</v>
      </c>
      <c r="D48" s="4" t="s">
        <v>2</v>
      </c>
      <c r="E48" s="4" t="s">
        <v>4</v>
      </c>
      <c r="F48" s="4">
        <v>40</v>
      </c>
      <c r="G48" s="4">
        <v>2</v>
      </c>
      <c r="H48" s="4" t="s">
        <v>45</v>
      </c>
      <c r="I48" s="4" t="s">
        <v>16</v>
      </c>
      <c r="J48" s="4" t="s">
        <v>12</v>
      </c>
      <c r="K48" s="4">
        <v>5</v>
      </c>
      <c r="L48" s="5" t="s">
        <v>24</v>
      </c>
      <c r="M48" s="4" t="str">
        <f>_xlfn.CONCAT(B48,"_",D48,"_",G48,"_", I48,K48)</f>
        <v>47_LAHE_2_A5</v>
      </c>
    </row>
    <row r="49" spans="1:13" x14ac:dyDescent="0.2">
      <c r="A49" s="4" t="s">
        <v>30</v>
      </c>
      <c r="B49" s="4">
        <v>48</v>
      </c>
      <c r="C49" s="4">
        <v>2</v>
      </c>
      <c r="D49" s="4" t="s">
        <v>2</v>
      </c>
      <c r="E49" s="4" t="s">
        <v>4</v>
      </c>
      <c r="F49" s="4">
        <v>40</v>
      </c>
      <c r="G49" s="4">
        <v>2</v>
      </c>
      <c r="H49" s="4" t="s">
        <v>45</v>
      </c>
      <c r="I49" s="4" t="s">
        <v>16</v>
      </c>
      <c r="J49" s="4" t="s">
        <v>12</v>
      </c>
      <c r="K49" s="4">
        <v>6</v>
      </c>
      <c r="L49" s="5" t="s">
        <v>42</v>
      </c>
      <c r="M49" s="4" t="str">
        <f>_xlfn.CONCAT(B49,"_",D49,"_",G49,"_", I49,K49)</f>
        <v>48_LAHE_2_A6</v>
      </c>
    </row>
    <row r="50" spans="1:13" x14ac:dyDescent="0.2">
      <c r="A50" s="2" t="s">
        <v>30</v>
      </c>
      <c r="B50" s="2">
        <v>49</v>
      </c>
      <c r="C50" s="2">
        <v>2</v>
      </c>
      <c r="D50" s="2" t="s">
        <v>2</v>
      </c>
      <c r="E50" s="2" t="s">
        <v>4</v>
      </c>
      <c r="F50" s="2">
        <v>40</v>
      </c>
      <c r="G50" s="2">
        <v>3</v>
      </c>
      <c r="H50" s="2" t="s">
        <v>46</v>
      </c>
      <c r="I50" s="2" t="s">
        <v>16</v>
      </c>
      <c r="J50" s="2" t="s">
        <v>12</v>
      </c>
      <c r="K50" s="2">
        <v>1</v>
      </c>
      <c r="L50" s="2" t="s">
        <v>14</v>
      </c>
      <c r="M50" s="2" t="str">
        <f>_xlfn.CONCAT(B50,"_",D50,"_",G50,"_", I50,K50)</f>
        <v>49_LAHE_3_A1</v>
      </c>
    </row>
    <row r="51" spans="1:13" x14ac:dyDescent="0.2">
      <c r="A51" s="2" t="s">
        <v>30</v>
      </c>
      <c r="B51" s="2">
        <v>50</v>
      </c>
      <c r="C51" s="2">
        <v>2</v>
      </c>
      <c r="D51" s="2" t="s">
        <v>2</v>
      </c>
      <c r="E51" s="2" t="s">
        <v>4</v>
      </c>
      <c r="F51" s="2">
        <v>40</v>
      </c>
      <c r="G51" s="2">
        <v>3</v>
      </c>
      <c r="H51" s="2" t="s">
        <v>46</v>
      </c>
      <c r="I51" s="2" t="s">
        <v>16</v>
      </c>
      <c r="J51" s="2" t="s">
        <v>12</v>
      </c>
      <c r="K51" s="2">
        <v>2</v>
      </c>
      <c r="L51" s="3" t="s">
        <v>19</v>
      </c>
      <c r="M51" s="2" t="str">
        <f>_xlfn.CONCAT(B51,"_",D51,"_",G51,"_", I51,K51)</f>
        <v>50_LAHE_3_A2</v>
      </c>
    </row>
    <row r="52" spans="1:13" x14ac:dyDescent="0.2">
      <c r="A52" s="2" t="s">
        <v>30</v>
      </c>
      <c r="B52" s="2">
        <v>51</v>
      </c>
      <c r="C52" s="2">
        <v>2</v>
      </c>
      <c r="D52" s="2" t="s">
        <v>2</v>
      </c>
      <c r="E52" s="2" t="s">
        <v>4</v>
      </c>
      <c r="F52" s="2">
        <v>40</v>
      </c>
      <c r="G52" s="2">
        <v>3</v>
      </c>
      <c r="H52" s="2" t="s">
        <v>46</v>
      </c>
      <c r="I52" s="2" t="s">
        <v>16</v>
      </c>
      <c r="J52" s="2" t="s">
        <v>12</v>
      </c>
      <c r="K52" s="2">
        <v>3</v>
      </c>
      <c r="L52" s="3" t="s">
        <v>20</v>
      </c>
      <c r="M52" s="2" t="str">
        <f>_xlfn.CONCAT(B52,"_",D52,"_",G52,"_", I52,K52)</f>
        <v>51_LAHE_3_A3</v>
      </c>
    </row>
    <row r="53" spans="1:13" x14ac:dyDescent="0.2">
      <c r="A53" s="2" t="s">
        <v>30</v>
      </c>
      <c r="B53" s="2">
        <v>52</v>
      </c>
      <c r="C53" s="2">
        <v>2</v>
      </c>
      <c r="D53" s="2" t="s">
        <v>2</v>
      </c>
      <c r="E53" s="2" t="s">
        <v>4</v>
      </c>
      <c r="F53" s="2">
        <v>40</v>
      </c>
      <c r="G53" s="2">
        <v>3</v>
      </c>
      <c r="H53" s="2" t="s">
        <v>46</v>
      </c>
      <c r="I53" s="2" t="s">
        <v>16</v>
      </c>
      <c r="J53" s="2" t="s">
        <v>12</v>
      </c>
      <c r="K53" s="2">
        <v>4</v>
      </c>
      <c r="L53" s="3" t="s">
        <v>22</v>
      </c>
      <c r="M53" s="2" t="str">
        <f>_xlfn.CONCAT(B53,"_",D53,"_",G53,"_", I53,K53)</f>
        <v>52_LAHE_3_A4</v>
      </c>
    </row>
    <row r="54" spans="1:13" x14ac:dyDescent="0.2">
      <c r="A54" s="2" t="s">
        <v>30</v>
      </c>
      <c r="B54" s="2">
        <v>53</v>
      </c>
      <c r="C54" s="2">
        <v>2</v>
      </c>
      <c r="D54" s="2" t="s">
        <v>2</v>
      </c>
      <c r="E54" s="2" t="s">
        <v>4</v>
      </c>
      <c r="F54" s="2">
        <v>40</v>
      </c>
      <c r="G54" s="2">
        <v>3</v>
      </c>
      <c r="H54" s="2" t="s">
        <v>46</v>
      </c>
      <c r="I54" s="2" t="s">
        <v>16</v>
      </c>
      <c r="J54" s="2" t="s">
        <v>12</v>
      </c>
      <c r="K54" s="2">
        <v>5</v>
      </c>
      <c r="L54" s="3" t="s">
        <v>24</v>
      </c>
      <c r="M54" s="2" t="str">
        <f>_xlfn.CONCAT(B54,"_",D54,"_",G54,"_", I54,K54)</f>
        <v>53_LAHE_3_A5</v>
      </c>
    </row>
    <row r="55" spans="1:13" x14ac:dyDescent="0.2">
      <c r="A55" s="2" t="s">
        <v>30</v>
      </c>
      <c r="B55" s="2">
        <v>54</v>
      </c>
      <c r="C55" s="2">
        <v>2</v>
      </c>
      <c r="D55" s="2" t="s">
        <v>2</v>
      </c>
      <c r="E55" s="2" t="s">
        <v>4</v>
      </c>
      <c r="F55" s="2">
        <v>40</v>
      </c>
      <c r="G55" s="2">
        <v>3</v>
      </c>
      <c r="H55" s="2" t="s">
        <v>46</v>
      </c>
      <c r="I55" s="2" t="s">
        <v>16</v>
      </c>
      <c r="J55" s="2" t="s">
        <v>12</v>
      </c>
      <c r="K55" s="2">
        <v>6</v>
      </c>
      <c r="L55" s="3" t="s">
        <v>42</v>
      </c>
      <c r="M55" s="2" t="str">
        <f>_xlfn.CONCAT(B55,"_",D55,"_",G55,"_", I55,K55)</f>
        <v>54_LAHE_3_A6</v>
      </c>
    </row>
    <row r="56" spans="1:13" x14ac:dyDescent="0.2">
      <c r="A56" s="4" t="s">
        <v>30</v>
      </c>
      <c r="B56" s="4">
        <v>55</v>
      </c>
      <c r="C56" s="4">
        <v>2</v>
      </c>
      <c r="D56" s="4" t="s">
        <v>2</v>
      </c>
      <c r="E56" s="4" t="s">
        <v>4</v>
      </c>
      <c r="F56" s="4">
        <v>40</v>
      </c>
      <c r="G56" s="4">
        <v>4</v>
      </c>
      <c r="H56" s="4" t="s">
        <v>47</v>
      </c>
      <c r="I56" s="4" t="s">
        <v>16</v>
      </c>
      <c r="J56" s="4" t="s">
        <v>12</v>
      </c>
      <c r="K56" s="4">
        <v>1</v>
      </c>
      <c r="L56" s="4" t="s">
        <v>14</v>
      </c>
      <c r="M56" s="4" t="str">
        <f>_xlfn.CONCAT(B56,"_",D56,"_",G56,"_", I56,K56)</f>
        <v>55_LAHE_4_A1</v>
      </c>
    </row>
    <row r="57" spans="1:13" x14ac:dyDescent="0.2">
      <c r="A57" s="4" t="s">
        <v>30</v>
      </c>
      <c r="B57" s="4">
        <v>56</v>
      </c>
      <c r="C57" s="4">
        <v>2</v>
      </c>
      <c r="D57" s="4" t="s">
        <v>2</v>
      </c>
      <c r="E57" s="4" t="s">
        <v>4</v>
      </c>
      <c r="F57" s="4">
        <v>40</v>
      </c>
      <c r="G57" s="4">
        <v>4</v>
      </c>
      <c r="H57" s="4" t="s">
        <v>47</v>
      </c>
      <c r="I57" s="4" t="s">
        <v>16</v>
      </c>
      <c r="J57" s="4" t="s">
        <v>12</v>
      </c>
      <c r="K57" s="4">
        <v>2</v>
      </c>
      <c r="L57" s="5" t="s">
        <v>19</v>
      </c>
      <c r="M57" s="4" t="str">
        <f>_xlfn.CONCAT(B57,"_",D57,"_",G57,"_", I57,K57)</f>
        <v>56_LAHE_4_A2</v>
      </c>
    </row>
    <row r="58" spans="1:13" x14ac:dyDescent="0.2">
      <c r="A58" s="4" t="s">
        <v>30</v>
      </c>
      <c r="B58" s="4">
        <v>57</v>
      </c>
      <c r="C58" s="4">
        <v>2</v>
      </c>
      <c r="D58" s="4" t="s">
        <v>2</v>
      </c>
      <c r="E58" s="4" t="s">
        <v>4</v>
      </c>
      <c r="F58" s="4">
        <v>40</v>
      </c>
      <c r="G58" s="4">
        <v>4</v>
      </c>
      <c r="H58" s="4" t="s">
        <v>47</v>
      </c>
      <c r="I58" s="4" t="s">
        <v>16</v>
      </c>
      <c r="J58" s="4" t="s">
        <v>12</v>
      </c>
      <c r="K58" s="4">
        <v>3</v>
      </c>
      <c r="L58" s="5" t="s">
        <v>20</v>
      </c>
      <c r="M58" s="4" t="str">
        <f>_xlfn.CONCAT(B58,"_",D58,"_",G58,"_", I58,K58)</f>
        <v>57_LAHE_4_A3</v>
      </c>
    </row>
    <row r="59" spans="1:13" x14ac:dyDescent="0.2">
      <c r="A59" s="4" t="s">
        <v>30</v>
      </c>
      <c r="B59" s="4">
        <v>58</v>
      </c>
      <c r="C59" s="4">
        <v>2</v>
      </c>
      <c r="D59" s="4" t="s">
        <v>2</v>
      </c>
      <c r="E59" s="4" t="s">
        <v>4</v>
      </c>
      <c r="F59" s="4">
        <v>40</v>
      </c>
      <c r="G59" s="4">
        <v>4</v>
      </c>
      <c r="H59" s="4" t="s">
        <v>47</v>
      </c>
      <c r="I59" s="4" t="s">
        <v>16</v>
      </c>
      <c r="J59" s="4" t="s">
        <v>12</v>
      </c>
      <c r="K59" s="4">
        <v>4</v>
      </c>
      <c r="L59" s="5" t="s">
        <v>22</v>
      </c>
      <c r="M59" s="4" t="str">
        <f>_xlfn.CONCAT(B59,"_",D59,"_",G59,"_", I59,K59)</f>
        <v>58_LAHE_4_A4</v>
      </c>
    </row>
    <row r="60" spans="1:13" x14ac:dyDescent="0.2">
      <c r="A60" s="4" t="s">
        <v>30</v>
      </c>
      <c r="B60" s="4">
        <v>59</v>
      </c>
      <c r="C60" s="4">
        <v>2</v>
      </c>
      <c r="D60" s="4" t="s">
        <v>2</v>
      </c>
      <c r="E60" s="4" t="s">
        <v>4</v>
      </c>
      <c r="F60" s="4">
        <v>40</v>
      </c>
      <c r="G60" s="4">
        <v>4</v>
      </c>
      <c r="H60" s="4" t="s">
        <v>47</v>
      </c>
      <c r="I60" s="4" t="s">
        <v>16</v>
      </c>
      <c r="J60" s="4" t="s">
        <v>12</v>
      </c>
      <c r="K60" s="4">
        <v>5</v>
      </c>
      <c r="L60" s="5" t="s">
        <v>24</v>
      </c>
      <c r="M60" s="4" t="str">
        <f>_xlfn.CONCAT(B60,"_",D60,"_",G60,"_", I60,K60)</f>
        <v>59_LAHE_4_A5</v>
      </c>
    </row>
    <row r="61" spans="1:13" x14ac:dyDescent="0.2">
      <c r="A61" s="4" t="s">
        <v>30</v>
      </c>
      <c r="B61" s="4">
        <v>60</v>
      </c>
      <c r="C61" s="4">
        <v>2</v>
      </c>
      <c r="D61" s="4" t="s">
        <v>2</v>
      </c>
      <c r="E61" s="4" t="s">
        <v>4</v>
      </c>
      <c r="F61" s="4">
        <v>40</v>
      </c>
      <c r="G61" s="4">
        <v>4</v>
      </c>
      <c r="H61" s="4" t="s">
        <v>47</v>
      </c>
      <c r="I61" s="4" t="s">
        <v>16</v>
      </c>
      <c r="J61" s="4" t="s">
        <v>12</v>
      </c>
      <c r="K61" s="4">
        <v>6</v>
      </c>
      <c r="L61" s="5" t="s">
        <v>42</v>
      </c>
      <c r="M61" s="4" t="str">
        <f>_xlfn.CONCAT(B61,"_",D61,"_",G61,"_", I61,K61)</f>
        <v>60_LAHE_4_A6</v>
      </c>
    </row>
    <row r="62" spans="1:13" x14ac:dyDescent="0.2">
      <c r="A62" s="2" t="s">
        <v>30</v>
      </c>
      <c r="B62" s="2">
        <v>61</v>
      </c>
      <c r="C62" s="2">
        <v>2</v>
      </c>
      <c r="D62" s="2" t="s">
        <v>2</v>
      </c>
      <c r="E62" s="2" t="s">
        <v>4</v>
      </c>
      <c r="F62" s="2">
        <v>40</v>
      </c>
      <c r="G62" s="2">
        <v>5</v>
      </c>
      <c r="H62" s="2" t="s">
        <v>48</v>
      </c>
      <c r="I62" s="2" t="s">
        <v>16</v>
      </c>
      <c r="J62" s="2" t="s">
        <v>12</v>
      </c>
      <c r="K62" s="2">
        <v>1</v>
      </c>
      <c r="L62" s="2" t="s">
        <v>14</v>
      </c>
      <c r="M62" s="2" t="str">
        <f>_xlfn.CONCAT(B62,"_",D62,"_",G62,"_", I62,K62)</f>
        <v>61_LAHE_5_A1</v>
      </c>
    </row>
    <row r="63" spans="1:13" x14ac:dyDescent="0.2">
      <c r="A63" s="2" t="s">
        <v>30</v>
      </c>
      <c r="B63" s="2">
        <v>62</v>
      </c>
      <c r="C63" s="2">
        <v>2</v>
      </c>
      <c r="D63" s="2" t="s">
        <v>2</v>
      </c>
      <c r="E63" s="2" t="s">
        <v>4</v>
      </c>
      <c r="F63" s="2">
        <v>40</v>
      </c>
      <c r="G63" s="2">
        <v>5</v>
      </c>
      <c r="H63" s="2" t="s">
        <v>48</v>
      </c>
      <c r="I63" s="2" t="s">
        <v>16</v>
      </c>
      <c r="J63" s="2" t="s">
        <v>12</v>
      </c>
      <c r="K63" s="2">
        <v>2</v>
      </c>
      <c r="L63" s="3" t="s">
        <v>19</v>
      </c>
      <c r="M63" s="2" t="str">
        <f>_xlfn.CONCAT(B63,"_",D63,"_",G63,"_", I63,K63)</f>
        <v>62_LAHE_5_A2</v>
      </c>
    </row>
    <row r="64" spans="1:13" x14ac:dyDescent="0.2">
      <c r="A64" s="2" t="s">
        <v>30</v>
      </c>
      <c r="B64" s="2">
        <v>63</v>
      </c>
      <c r="C64" s="2">
        <v>2</v>
      </c>
      <c r="D64" s="2" t="s">
        <v>2</v>
      </c>
      <c r="E64" s="2" t="s">
        <v>4</v>
      </c>
      <c r="F64" s="2">
        <v>40</v>
      </c>
      <c r="G64" s="2">
        <v>5</v>
      </c>
      <c r="H64" s="2" t="s">
        <v>48</v>
      </c>
      <c r="I64" s="2" t="s">
        <v>16</v>
      </c>
      <c r="J64" s="2" t="s">
        <v>12</v>
      </c>
      <c r="K64" s="2">
        <v>3</v>
      </c>
      <c r="L64" s="3" t="s">
        <v>20</v>
      </c>
      <c r="M64" s="2" t="str">
        <f>_xlfn.CONCAT(B64,"_",D64,"_",G64,"_", I64,K64)</f>
        <v>63_LAHE_5_A3</v>
      </c>
    </row>
    <row r="65" spans="1:13" x14ac:dyDescent="0.2">
      <c r="A65" s="2" t="s">
        <v>30</v>
      </c>
      <c r="B65" s="2">
        <v>64</v>
      </c>
      <c r="C65" s="2">
        <v>2</v>
      </c>
      <c r="D65" s="2" t="s">
        <v>2</v>
      </c>
      <c r="E65" s="2" t="s">
        <v>4</v>
      </c>
      <c r="F65" s="2">
        <v>40</v>
      </c>
      <c r="G65" s="2">
        <v>5</v>
      </c>
      <c r="H65" s="2" t="s">
        <v>48</v>
      </c>
      <c r="I65" s="2" t="s">
        <v>16</v>
      </c>
      <c r="J65" s="2" t="s">
        <v>12</v>
      </c>
      <c r="K65" s="2">
        <v>4</v>
      </c>
      <c r="L65" s="3" t="s">
        <v>22</v>
      </c>
      <c r="M65" s="2" t="str">
        <f>_xlfn.CONCAT(B65,"_",D65,"_",G65,"_", I65,K65)</f>
        <v>64_LAHE_5_A4</v>
      </c>
    </row>
    <row r="66" spans="1:13" x14ac:dyDescent="0.2">
      <c r="A66" s="2" t="s">
        <v>30</v>
      </c>
      <c r="B66" s="2">
        <v>65</v>
      </c>
      <c r="C66" s="2">
        <v>2</v>
      </c>
      <c r="D66" s="2" t="s">
        <v>2</v>
      </c>
      <c r="E66" s="2" t="s">
        <v>4</v>
      </c>
      <c r="F66" s="2">
        <v>40</v>
      </c>
      <c r="G66" s="2">
        <v>5</v>
      </c>
      <c r="H66" s="2" t="s">
        <v>48</v>
      </c>
      <c r="I66" s="2" t="s">
        <v>16</v>
      </c>
      <c r="J66" s="2" t="s">
        <v>12</v>
      </c>
      <c r="K66" s="2">
        <v>5</v>
      </c>
      <c r="L66" s="3" t="s">
        <v>24</v>
      </c>
      <c r="M66" s="2" t="str">
        <f>_xlfn.CONCAT(B66,"_",D66,"_",G66,"_", I66,K66)</f>
        <v>65_LAHE_5_A5</v>
      </c>
    </row>
    <row r="67" spans="1:13" x14ac:dyDescent="0.2">
      <c r="A67" s="2" t="s">
        <v>30</v>
      </c>
      <c r="B67" s="2">
        <v>66</v>
      </c>
      <c r="C67" s="2">
        <v>2</v>
      </c>
      <c r="D67" s="2" t="s">
        <v>2</v>
      </c>
      <c r="E67" s="2" t="s">
        <v>4</v>
      </c>
      <c r="F67" s="2">
        <v>40</v>
      </c>
      <c r="G67" s="2">
        <v>5</v>
      </c>
      <c r="H67" s="2" t="s">
        <v>48</v>
      </c>
      <c r="I67" s="2" t="s">
        <v>16</v>
      </c>
      <c r="J67" s="2" t="s">
        <v>12</v>
      </c>
      <c r="K67" s="2">
        <v>6</v>
      </c>
      <c r="L67" s="3" t="s">
        <v>42</v>
      </c>
      <c r="M67" s="2" t="str">
        <f>_xlfn.CONCAT(B67,"_",D67,"_",G67,"_", I67,K67)</f>
        <v>66_LAHE_5_A6</v>
      </c>
    </row>
    <row r="68" spans="1:13" x14ac:dyDescent="0.2">
      <c r="A68" s="2" t="s">
        <v>31</v>
      </c>
      <c r="B68" s="2">
        <v>67</v>
      </c>
      <c r="C68" s="2">
        <v>3</v>
      </c>
      <c r="D68" s="2" t="s">
        <v>17</v>
      </c>
      <c r="E68" s="2" t="s">
        <v>7</v>
      </c>
      <c r="F68" s="2">
        <v>60</v>
      </c>
      <c r="G68" s="2">
        <v>1</v>
      </c>
      <c r="H68" s="2" t="s">
        <v>44</v>
      </c>
      <c r="I68" s="2" t="s">
        <v>16</v>
      </c>
      <c r="J68" s="2" t="s">
        <v>12</v>
      </c>
      <c r="K68" s="2">
        <v>1</v>
      </c>
      <c r="L68" s="2" t="s">
        <v>14</v>
      </c>
      <c r="M68" s="2" t="str">
        <f>_xlfn.CONCAT(B68,"_",D68,"_",G68,"_", I68,K68)</f>
        <v>67_MAS1_1_A1</v>
      </c>
    </row>
    <row r="69" spans="1:13" x14ac:dyDescent="0.2">
      <c r="A69" s="2" t="s">
        <v>31</v>
      </c>
      <c r="B69" s="2">
        <v>68</v>
      </c>
      <c r="C69" s="2">
        <v>3</v>
      </c>
      <c r="D69" s="2" t="s">
        <v>17</v>
      </c>
      <c r="E69" s="2" t="s">
        <v>7</v>
      </c>
      <c r="F69" s="2">
        <v>60</v>
      </c>
      <c r="G69" s="2">
        <v>1</v>
      </c>
      <c r="H69" s="2" t="s">
        <v>44</v>
      </c>
      <c r="I69" s="2" t="s">
        <v>16</v>
      </c>
      <c r="J69" s="2" t="s">
        <v>12</v>
      </c>
      <c r="K69" s="2">
        <v>2</v>
      </c>
      <c r="L69" s="3" t="s">
        <v>19</v>
      </c>
      <c r="M69" s="2" t="str">
        <f>_xlfn.CONCAT(B69,"_",D69,"_",G69,"_", I69,K69)</f>
        <v>68_MAS1_1_A2</v>
      </c>
    </row>
    <row r="70" spans="1:13" x14ac:dyDescent="0.2">
      <c r="A70" s="2" t="s">
        <v>31</v>
      </c>
      <c r="B70" s="2">
        <v>69</v>
      </c>
      <c r="C70" s="2">
        <v>3</v>
      </c>
      <c r="D70" s="2" t="s">
        <v>17</v>
      </c>
      <c r="E70" s="2" t="s">
        <v>7</v>
      </c>
      <c r="F70" s="2">
        <v>60</v>
      </c>
      <c r="G70" s="2">
        <v>1</v>
      </c>
      <c r="H70" s="2" t="s">
        <v>44</v>
      </c>
      <c r="I70" s="2" t="s">
        <v>16</v>
      </c>
      <c r="J70" s="2" t="s">
        <v>12</v>
      </c>
      <c r="K70" s="2">
        <v>3</v>
      </c>
      <c r="L70" s="3" t="s">
        <v>21</v>
      </c>
      <c r="M70" s="2" t="str">
        <f>_xlfn.CONCAT(B70,"_",D70,"_",G70,"_", I70,K70)</f>
        <v>69_MAS1_1_A3</v>
      </c>
    </row>
    <row r="71" spans="1:13" x14ac:dyDescent="0.2">
      <c r="A71" s="2" t="s">
        <v>31</v>
      </c>
      <c r="B71" s="2">
        <v>70</v>
      </c>
      <c r="C71" s="2">
        <v>3</v>
      </c>
      <c r="D71" s="2" t="s">
        <v>17</v>
      </c>
      <c r="E71" s="2" t="s">
        <v>7</v>
      </c>
      <c r="F71" s="2">
        <v>60</v>
      </c>
      <c r="G71" s="2">
        <v>1</v>
      </c>
      <c r="H71" s="2" t="s">
        <v>44</v>
      </c>
      <c r="I71" s="2" t="s">
        <v>16</v>
      </c>
      <c r="J71" s="2" t="s">
        <v>12</v>
      </c>
      <c r="K71" s="2">
        <v>4</v>
      </c>
      <c r="L71" s="3" t="s">
        <v>23</v>
      </c>
      <c r="M71" s="2" t="str">
        <f>_xlfn.CONCAT(B71,"_",D71,"_",G71,"_", I71,K71)</f>
        <v>70_MAS1_1_A4</v>
      </c>
    </row>
    <row r="72" spans="1:13" x14ac:dyDescent="0.2">
      <c r="A72" s="2" t="s">
        <v>31</v>
      </c>
      <c r="B72" s="2">
        <v>71</v>
      </c>
      <c r="C72" s="2">
        <v>3</v>
      </c>
      <c r="D72" s="2" t="s">
        <v>17</v>
      </c>
      <c r="E72" s="2" t="s">
        <v>7</v>
      </c>
      <c r="F72" s="2">
        <v>60</v>
      </c>
      <c r="G72" s="2">
        <v>1</v>
      </c>
      <c r="H72" s="2" t="s">
        <v>44</v>
      </c>
      <c r="I72" s="2" t="s">
        <v>16</v>
      </c>
      <c r="J72" s="2" t="s">
        <v>12</v>
      </c>
      <c r="K72" s="2">
        <v>5</v>
      </c>
      <c r="L72" s="3" t="s">
        <v>25</v>
      </c>
      <c r="M72" s="2" t="str">
        <f>_xlfn.CONCAT(B72,"_",D72,"_",G72,"_", I72,K72)</f>
        <v>71_MAS1_1_A5</v>
      </c>
    </row>
    <row r="73" spans="1:13" x14ac:dyDescent="0.2">
      <c r="A73" s="4" t="s">
        <v>31</v>
      </c>
      <c r="B73" s="4">
        <v>72</v>
      </c>
      <c r="C73" s="4">
        <v>3</v>
      </c>
      <c r="D73" s="4" t="s">
        <v>17</v>
      </c>
      <c r="E73" s="4" t="s">
        <v>7</v>
      </c>
      <c r="F73" s="4">
        <v>60</v>
      </c>
      <c r="G73" s="4">
        <v>1</v>
      </c>
      <c r="H73" s="4" t="s">
        <v>44</v>
      </c>
      <c r="I73" s="4" t="s">
        <v>26</v>
      </c>
      <c r="J73" s="4" t="s">
        <v>29</v>
      </c>
      <c r="K73" s="4">
        <v>1</v>
      </c>
      <c r="L73" s="4" t="s">
        <v>14</v>
      </c>
      <c r="M73" s="4" t="str">
        <f>_xlfn.CONCAT(B73,"_",D73,"_",G73,"_", I73,K73)</f>
        <v>72_MAS1_1_B1</v>
      </c>
    </row>
    <row r="74" spans="1:13" x14ac:dyDescent="0.2">
      <c r="A74" s="4" t="s">
        <v>31</v>
      </c>
      <c r="B74" s="4">
        <v>73</v>
      </c>
      <c r="C74" s="4">
        <v>3</v>
      </c>
      <c r="D74" s="4" t="s">
        <v>17</v>
      </c>
      <c r="E74" s="4" t="s">
        <v>7</v>
      </c>
      <c r="F74" s="4">
        <v>60</v>
      </c>
      <c r="G74" s="4">
        <v>1</v>
      </c>
      <c r="H74" s="4" t="s">
        <v>44</v>
      </c>
      <c r="I74" s="4" t="s">
        <v>26</v>
      </c>
      <c r="J74" s="4" t="s">
        <v>29</v>
      </c>
      <c r="K74" s="4">
        <v>2</v>
      </c>
      <c r="L74" s="5" t="s">
        <v>19</v>
      </c>
      <c r="M74" s="4" t="str">
        <f>_xlfn.CONCAT(B74,"_",D74,"_",G74,"_", I74,K74)</f>
        <v>73_MAS1_1_B2</v>
      </c>
    </row>
    <row r="75" spans="1:13" x14ac:dyDescent="0.2">
      <c r="A75" s="4" t="s">
        <v>31</v>
      </c>
      <c r="B75" s="4">
        <v>74</v>
      </c>
      <c r="C75" s="4">
        <v>3</v>
      </c>
      <c r="D75" s="4" t="s">
        <v>17</v>
      </c>
      <c r="E75" s="4" t="s">
        <v>7</v>
      </c>
      <c r="F75" s="4">
        <v>60</v>
      </c>
      <c r="G75" s="4">
        <v>1</v>
      </c>
      <c r="H75" s="4" t="s">
        <v>44</v>
      </c>
      <c r="I75" s="4" t="s">
        <v>26</v>
      </c>
      <c r="J75" s="4" t="s">
        <v>29</v>
      </c>
      <c r="K75" s="4">
        <v>3</v>
      </c>
      <c r="L75" s="5" t="s">
        <v>21</v>
      </c>
      <c r="M75" s="4" t="str">
        <f>_xlfn.CONCAT(B75,"_",D75,"_",G75,"_", I75,K75)</f>
        <v>74_MAS1_1_B3</v>
      </c>
    </row>
    <row r="76" spans="1:13" x14ac:dyDescent="0.2">
      <c r="A76" s="4" t="s">
        <v>31</v>
      </c>
      <c r="B76" s="4">
        <v>75</v>
      </c>
      <c r="C76" s="4">
        <v>3</v>
      </c>
      <c r="D76" s="4" t="s">
        <v>17</v>
      </c>
      <c r="E76" s="4" t="s">
        <v>7</v>
      </c>
      <c r="F76" s="4">
        <v>60</v>
      </c>
      <c r="G76" s="4">
        <v>1</v>
      </c>
      <c r="H76" s="4" t="s">
        <v>44</v>
      </c>
      <c r="I76" s="4" t="s">
        <v>26</v>
      </c>
      <c r="J76" s="4" t="s">
        <v>29</v>
      </c>
      <c r="K76" s="4">
        <v>4</v>
      </c>
      <c r="L76" s="5" t="s">
        <v>23</v>
      </c>
      <c r="M76" s="4" t="str">
        <f>_xlfn.CONCAT(B76,"_",D76,"_",G76,"_", I76,K76)</f>
        <v>75_MAS1_1_B4</v>
      </c>
    </row>
    <row r="77" spans="1:13" x14ac:dyDescent="0.2">
      <c r="A77" s="4" t="s">
        <v>31</v>
      </c>
      <c r="B77" s="4">
        <v>76</v>
      </c>
      <c r="C77" s="4">
        <v>3</v>
      </c>
      <c r="D77" s="4" t="s">
        <v>17</v>
      </c>
      <c r="E77" s="4" t="s">
        <v>7</v>
      </c>
      <c r="F77" s="4">
        <v>60</v>
      </c>
      <c r="G77" s="4">
        <v>1</v>
      </c>
      <c r="H77" s="4" t="s">
        <v>44</v>
      </c>
      <c r="I77" s="4" t="s">
        <v>26</v>
      </c>
      <c r="J77" s="4" t="s">
        <v>29</v>
      </c>
      <c r="K77" s="4">
        <v>5</v>
      </c>
      <c r="L77" s="5" t="s">
        <v>25</v>
      </c>
      <c r="M77" s="4" t="str">
        <f>_xlfn.CONCAT(B77,"_",D77,"_",G77,"_", I77,K77)</f>
        <v>76_MAS1_1_B5</v>
      </c>
    </row>
    <row r="78" spans="1:13" x14ac:dyDescent="0.2">
      <c r="A78" s="4" t="s">
        <v>31</v>
      </c>
      <c r="B78" s="4">
        <v>77</v>
      </c>
      <c r="C78" s="4">
        <v>3</v>
      </c>
      <c r="D78" s="4" t="s">
        <v>17</v>
      </c>
      <c r="E78" s="4" t="s">
        <v>7</v>
      </c>
      <c r="F78" s="4">
        <v>60</v>
      </c>
      <c r="G78" s="4">
        <v>1</v>
      </c>
      <c r="H78" s="4" t="s">
        <v>44</v>
      </c>
      <c r="I78" s="4" t="s">
        <v>27</v>
      </c>
      <c r="J78" s="4" t="s">
        <v>29</v>
      </c>
      <c r="K78" s="4">
        <v>1</v>
      </c>
      <c r="L78" s="4" t="s">
        <v>14</v>
      </c>
      <c r="M78" s="4" t="str">
        <f>_xlfn.CONCAT(B78,"_",D78,"_",G78,"_", I78,K78)</f>
        <v>77_MAS1_1_C1</v>
      </c>
    </row>
    <row r="79" spans="1:13" x14ac:dyDescent="0.2">
      <c r="A79" s="4" t="s">
        <v>31</v>
      </c>
      <c r="B79" s="4">
        <v>78</v>
      </c>
      <c r="C79" s="4">
        <v>3</v>
      </c>
      <c r="D79" s="4" t="s">
        <v>17</v>
      </c>
      <c r="E79" s="4" t="s">
        <v>7</v>
      </c>
      <c r="F79" s="4">
        <v>60</v>
      </c>
      <c r="G79" s="4">
        <v>1</v>
      </c>
      <c r="H79" s="4" t="s">
        <v>44</v>
      </c>
      <c r="I79" s="4" t="s">
        <v>27</v>
      </c>
      <c r="J79" s="4" t="s">
        <v>29</v>
      </c>
      <c r="K79" s="4">
        <v>2</v>
      </c>
      <c r="L79" s="5" t="s">
        <v>19</v>
      </c>
      <c r="M79" s="4" t="str">
        <f>_xlfn.CONCAT(B79,"_",D79,"_",G79,"_", I79,K79)</f>
        <v>78_MAS1_1_C2</v>
      </c>
    </row>
    <row r="80" spans="1:13" x14ac:dyDescent="0.2">
      <c r="A80" s="4" t="s">
        <v>31</v>
      </c>
      <c r="B80" s="4">
        <v>79</v>
      </c>
      <c r="C80" s="4">
        <v>3</v>
      </c>
      <c r="D80" s="4" t="s">
        <v>17</v>
      </c>
      <c r="E80" s="4" t="s">
        <v>7</v>
      </c>
      <c r="F80" s="4">
        <v>60</v>
      </c>
      <c r="G80" s="4">
        <v>1</v>
      </c>
      <c r="H80" s="4" t="s">
        <v>44</v>
      </c>
      <c r="I80" s="4" t="s">
        <v>27</v>
      </c>
      <c r="J80" s="4" t="s">
        <v>29</v>
      </c>
      <c r="K80" s="4">
        <v>3</v>
      </c>
      <c r="L80" s="5" t="s">
        <v>21</v>
      </c>
      <c r="M80" s="4" t="str">
        <f>_xlfn.CONCAT(B80,"_",D80,"_",G80,"_", I80,K80)</f>
        <v>79_MAS1_1_C3</v>
      </c>
    </row>
    <row r="81" spans="1:13" x14ac:dyDescent="0.2">
      <c r="A81" s="4" t="s">
        <v>31</v>
      </c>
      <c r="B81" s="4">
        <v>80</v>
      </c>
      <c r="C81" s="4">
        <v>3</v>
      </c>
      <c r="D81" s="4" t="s">
        <v>17</v>
      </c>
      <c r="E81" s="4" t="s">
        <v>7</v>
      </c>
      <c r="F81" s="4">
        <v>60</v>
      </c>
      <c r="G81" s="4">
        <v>1</v>
      </c>
      <c r="H81" s="4" t="s">
        <v>44</v>
      </c>
      <c r="I81" s="4" t="s">
        <v>27</v>
      </c>
      <c r="J81" s="4" t="s">
        <v>29</v>
      </c>
      <c r="K81" s="4">
        <v>4</v>
      </c>
      <c r="L81" s="5" t="s">
        <v>23</v>
      </c>
      <c r="M81" s="4" t="str">
        <f>_xlfn.CONCAT(B81,"_",D81,"_",G81,"_", I81,K81)</f>
        <v>80_MAS1_1_C4</v>
      </c>
    </row>
    <row r="82" spans="1:13" x14ac:dyDescent="0.2">
      <c r="A82" s="4" t="s">
        <v>31</v>
      </c>
      <c r="B82" s="4">
        <v>81</v>
      </c>
      <c r="C82" s="4">
        <v>3</v>
      </c>
      <c r="D82" s="4" t="s">
        <v>17</v>
      </c>
      <c r="E82" s="4" t="s">
        <v>7</v>
      </c>
      <c r="F82" s="4">
        <v>60</v>
      </c>
      <c r="G82" s="4">
        <v>1</v>
      </c>
      <c r="H82" s="4" t="s">
        <v>44</v>
      </c>
      <c r="I82" s="4" t="s">
        <v>27</v>
      </c>
      <c r="J82" s="4" t="s">
        <v>29</v>
      </c>
      <c r="K82" s="4">
        <v>5</v>
      </c>
      <c r="L82" s="5" t="s">
        <v>25</v>
      </c>
      <c r="M82" s="4" t="str">
        <f>_xlfn.CONCAT(B82,"_",D82,"_",G82,"_", I82,K82)</f>
        <v>81_MAS1_1_C5</v>
      </c>
    </row>
    <row r="83" spans="1:13" x14ac:dyDescent="0.2">
      <c r="A83" s="4" t="s">
        <v>31</v>
      </c>
      <c r="B83" s="4">
        <v>82</v>
      </c>
      <c r="C83" s="4">
        <v>3</v>
      </c>
      <c r="D83" s="4" t="s">
        <v>17</v>
      </c>
      <c r="E83" s="4" t="s">
        <v>7</v>
      </c>
      <c r="F83" s="4">
        <v>60</v>
      </c>
      <c r="G83" s="4">
        <v>2</v>
      </c>
      <c r="H83" s="4" t="s">
        <v>45</v>
      </c>
      <c r="I83" s="4" t="s">
        <v>16</v>
      </c>
      <c r="J83" s="4" t="s">
        <v>12</v>
      </c>
      <c r="K83" s="4">
        <v>1</v>
      </c>
      <c r="L83" s="4" t="s">
        <v>14</v>
      </c>
      <c r="M83" s="4" t="str">
        <f>_xlfn.CONCAT(B83,"_",D83,"_",G83,"_", I83,K83)</f>
        <v>82_MAS1_2_A1</v>
      </c>
    </row>
    <row r="84" spans="1:13" x14ac:dyDescent="0.2">
      <c r="A84" s="4" t="s">
        <v>31</v>
      </c>
      <c r="B84" s="4">
        <v>83</v>
      </c>
      <c r="C84" s="4">
        <v>3</v>
      </c>
      <c r="D84" s="4" t="s">
        <v>17</v>
      </c>
      <c r="E84" s="4" t="s">
        <v>7</v>
      </c>
      <c r="F84" s="4">
        <v>60</v>
      </c>
      <c r="G84" s="4">
        <v>2</v>
      </c>
      <c r="H84" s="4" t="s">
        <v>45</v>
      </c>
      <c r="I84" s="4" t="s">
        <v>16</v>
      </c>
      <c r="J84" s="4" t="s">
        <v>12</v>
      </c>
      <c r="K84" s="4">
        <v>2</v>
      </c>
      <c r="L84" s="5" t="s">
        <v>19</v>
      </c>
      <c r="M84" s="4" t="str">
        <f>_xlfn.CONCAT(B84,"_",D84,"_",G84,"_", I84,K84)</f>
        <v>83_MAS1_2_A2</v>
      </c>
    </row>
    <row r="85" spans="1:13" x14ac:dyDescent="0.2">
      <c r="A85" s="4" t="s">
        <v>31</v>
      </c>
      <c r="B85" s="4">
        <v>84</v>
      </c>
      <c r="C85" s="4">
        <v>3</v>
      </c>
      <c r="D85" s="4" t="s">
        <v>17</v>
      </c>
      <c r="E85" s="4" t="s">
        <v>7</v>
      </c>
      <c r="F85" s="4">
        <v>60</v>
      </c>
      <c r="G85" s="4">
        <v>2</v>
      </c>
      <c r="H85" s="4" t="s">
        <v>45</v>
      </c>
      <c r="I85" s="4" t="s">
        <v>16</v>
      </c>
      <c r="J85" s="4" t="s">
        <v>12</v>
      </c>
      <c r="K85" s="4">
        <v>3</v>
      </c>
      <c r="L85" s="5" t="s">
        <v>21</v>
      </c>
      <c r="M85" s="4" t="str">
        <f>_xlfn.CONCAT(B85,"_",D85,"_",G85,"_", I85,K85)</f>
        <v>84_MAS1_2_A3</v>
      </c>
    </row>
    <row r="86" spans="1:13" x14ac:dyDescent="0.2">
      <c r="A86" s="4" t="s">
        <v>31</v>
      </c>
      <c r="B86" s="4">
        <v>85</v>
      </c>
      <c r="C86" s="4">
        <v>3</v>
      </c>
      <c r="D86" s="4" t="s">
        <v>17</v>
      </c>
      <c r="E86" s="4" t="s">
        <v>7</v>
      </c>
      <c r="F86" s="4">
        <v>60</v>
      </c>
      <c r="G86" s="4">
        <v>2</v>
      </c>
      <c r="H86" s="4" t="s">
        <v>45</v>
      </c>
      <c r="I86" s="4" t="s">
        <v>16</v>
      </c>
      <c r="J86" s="4" t="s">
        <v>12</v>
      </c>
      <c r="K86" s="4">
        <v>4</v>
      </c>
      <c r="L86" s="5" t="s">
        <v>23</v>
      </c>
      <c r="M86" s="4" t="str">
        <f>_xlfn.CONCAT(B86,"_",D86,"_",G86,"_", I86,K86)</f>
        <v>85_MAS1_2_A4</v>
      </c>
    </row>
    <row r="87" spans="1:13" x14ac:dyDescent="0.2">
      <c r="A87" s="4" t="s">
        <v>31</v>
      </c>
      <c r="B87" s="4">
        <v>86</v>
      </c>
      <c r="C87" s="4">
        <v>3</v>
      </c>
      <c r="D87" s="4" t="s">
        <v>17</v>
      </c>
      <c r="E87" s="4" t="s">
        <v>7</v>
      </c>
      <c r="F87" s="4">
        <v>60</v>
      </c>
      <c r="G87" s="4">
        <v>2</v>
      </c>
      <c r="H87" s="4" t="s">
        <v>45</v>
      </c>
      <c r="I87" s="4" t="s">
        <v>16</v>
      </c>
      <c r="J87" s="4" t="s">
        <v>12</v>
      </c>
      <c r="K87" s="4">
        <v>5</v>
      </c>
      <c r="L87" s="5" t="s">
        <v>25</v>
      </c>
      <c r="M87" s="4" t="str">
        <f>_xlfn.CONCAT(B87,"_",D87,"_",G87,"_", I87,K87)</f>
        <v>86_MAS1_2_A5</v>
      </c>
    </row>
    <row r="88" spans="1:13" x14ac:dyDescent="0.2">
      <c r="A88" s="2" t="s">
        <v>31</v>
      </c>
      <c r="B88" s="2">
        <v>87</v>
      </c>
      <c r="C88" s="2">
        <v>3</v>
      </c>
      <c r="D88" s="2" t="s">
        <v>17</v>
      </c>
      <c r="E88" s="2" t="s">
        <v>7</v>
      </c>
      <c r="F88" s="2">
        <v>60</v>
      </c>
      <c r="G88" s="2">
        <v>3</v>
      </c>
      <c r="H88" s="2" t="s">
        <v>46</v>
      </c>
      <c r="I88" s="2" t="s">
        <v>16</v>
      </c>
      <c r="J88" s="2" t="s">
        <v>12</v>
      </c>
      <c r="K88" s="2">
        <v>1</v>
      </c>
      <c r="L88" s="2" t="s">
        <v>14</v>
      </c>
      <c r="M88" s="2" t="str">
        <f>_xlfn.CONCAT(B88,"_",D88,"_",G88,"_", I88,K88)</f>
        <v>87_MAS1_3_A1</v>
      </c>
    </row>
    <row r="89" spans="1:13" x14ac:dyDescent="0.2">
      <c r="A89" s="2" t="s">
        <v>31</v>
      </c>
      <c r="B89" s="2">
        <v>88</v>
      </c>
      <c r="C89" s="2">
        <v>3</v>
      </c>
      <c r="D89" s="2" t="s">
        <v>17</v>
      </c>
      <c r="E89" s="2" t="s">
        <v>7</v>
      </c>
      <c r="F89" s="2">
        <v>60</v>
      </c>
      <c r="G89" s="2">
        <v>3</v>
      </c>
      <c r="H89" s="2" t="s">
        <v>46</v>
      </c>
      <c r="I89" s="2" t="s">
        <v>16</v>
      </c>
      <c r="J89" s="2" t="s">
        <v>12</v>
      </c>
      <c r="K89" s="2">
        <v>2</v>
      </c>
      <c r="L89" s="3" t="s">
        <v>19</v>
      </c>
      <c r="M89" s="2" t="str">
        <f>_xlfn.CONCAT(B89,"_",D89,"_",G89,"_", I89,K89)</f>
        <v>88_MAS1_3_A2</v>
      </c>
    </row>
    <row r="90" spans="1:13" x14ac:dyDescent="0.2">
      <c r="A90" s="2" t="s">
        <v>31</v>
      </c>
      <c r="B90" s="2">
        <v>89</v>
      </c>
      <c r="C90" s="2">
        <v>3</v>
      </c>
      <c r="D90" s="2" t="s">
        <v>17</v>
      </c>
      <c r="E90" s="2" t="s">
        <v>7</v>
      </c>
      <c r="F90" s="2">
        <v>60</v>
      </c>
      <c r="G90" s="2">
        <v>3</v>
      </c>
      <c r="H90" s="2" t="s">
        <v>46</v>
      </c>
      <c r="I90" s="2" t="s">
        <v>16</v>
      </c>
      <c r="J90" s="2" t="s">
        <v>12</v>
      </c>
      <c r="K90" s="2">
        <v>3</v>
      </c>
      <c r="L90" s="3" t="s">
        <v>21</v>
      </c>
      <c r="M90" s="2" t="str">
        <f>_xlfn.CONCAT(B90,"_",D90,"_",G90,"_", I90,K90)</f>
        <v>89_MAS1_3_A3</v>
      </c>
    </row>
    <row r="91" spans="1:13" x14ac:dyDescent="0.2">
      <c r="A91" s="2" t="s">
        <v>31</v>
      </c>
      <c r="B91" s="2">
        <v>90</v>
      </c>
      <c r="C91" s="2">
        <v>3</v>
      </c>
      <c r="D91" s="2" t="s">
        <v>17</v>
      </c>
      <c r="E91" s="2" t="s">
        <v>7</v>
      </c>
      <c r="F91" s="2">
        <v>60</v>
      </c>
      <c r="G91" s="2">
        <v>3</v>
      </c>
      <c r="H91" s="2" t="s">
        <v>46</v>
      </c>
      <c r="I91" s="2" t="s">
        <v>16</v>
      </c>
      <c r="J91" s="2" t="s">
        <v>12</v>
      </c>
      <c r="K91" s="2">
        <v>4</v>
      </c>
      <c r="L91" s="3" t="s">
        <v>23</v>
      </c>
      <c r="M91" s="2" t="str">
        <f>_xlfn.CONCAT(B91,"_",D91,"_",G91,"_", I91,K91)</f>
        <v>90_MAS1_3_A4</v>
      </c>
    </row>
    <row r="92" spans="1:13" x14ac:dyDescent="0.2">
      <c r="A92" s="2" t="s">
        <v>31</v>
      </c>
      <c r="B92" s="2">
        <v>91</v>
      </c>
      <c r="C92" s="2">
        <v>3</v>
      </c>
      <c r="D92" s="2" t="s">
        <v>17</v>
      </c>
      <c r="E92" s="2" t="s">
        <v>7</v>
      </c>
      <c r="F92" s="2">
        <v>60</v>
      </c>
      <c r="G92" s="2">
        <v>3</v>
      </c>
      <c r="H92" s="2" t="s">
        <v>46</v>
      </c>
      <c r="I92" s="2" t="s">
        <v>16</v>
      </c>
      <c r="J92" s="2" t="s">
        <v>12</v>
      </c>
      <c r="K92" s="2">
        <v>5</v>
      </c>
      <c r="L92" s="3" t="s">
        <v>25</v>
      </c>
      <c r="M92" s="2" t="str">
        <f>_xlfn.CONCAT(B92,"_",D92,"_",G92,"_", I92,K92)</f>
        <v>91_MAS1_3_A5</v>
      </c>
    </row>
    <row r="93" spans="1:13" x14ac:dyDescent="0.2">
      <c r="A93" s="4" t="s">
        <v>31</v>
      </c>
      <c r="B93" s="4">
        <v>92</v>
      </c>
      <c r="C93" s="4">
        <v>3</v>
      </c>
      <c r="D93" s="4" t="s">
        <v>17</v>
      </c>
      <c r="E93" s="4" t="s">
        <v>7</v>
      </c>
      <c r="F93" s="4">
        <v>60</v>
      </c>
      <c r="G93" s="4">
        <v>3</v>
      </c>
      <c r="H93" s="4" t="s">
        <v>46</v>
      </c>
      <c r="I93" s="4" t="s">
        <v>26</v>
      </c>
      <c r="J93" s="4" t="s">
        <v>29</v>
      </c>
      <c r="K93" s="4">
        <v>1</v>
      </c>
      <c r="L93" s="4" t="s">
        <v>14</v>
      </c>
      <c r="M93" s="4" t="str">
        <f>_xlfn.CONCAT(B93,"_",D93,"_",G93,"_", I93,K93)</f>
        <v>92_MAS1_3_B1</v>
      </c>
    </row>
    <row r="94" spans="1:13" x14ac:dyDescent="0.2">
      <c r="A94" s="4" t="s">
        <v>31</v>
      </c>
      <c r="B94" s="4">
        <v>93</v>
      </c>
      <c r="C94" s="4">
        <v>3</v>
      </c>
      <c r="D94" s="4" t="s">
        <v>17</v>
      </c>
      <c r="E94" s="4" t="s">
        <v>7</v>
      </c>
      <c r="F94" s="4">
        <v>60</v>
      </c>
      <c r="G94" s="4">
        <v>3</v>
      </c>
      <c r="H94" s="4" t="s">
        <v>46</v>
      </c>
      <c r="I94" s="4" t="s">
        <v>26</v>
      </c>
      <c r="J94" s="4" t="s">
        <v>29</v>
      </c>
      <c r="K94" s="4">
        <v>2</v>
      </c>
      <c r="L94" s="5" t="s">
        <v>19</v>
      </c>
      <c r="M94" s="4" t="str">
        <f>_xlfn.CONCAT(B94,"_",D94,"_",G94,"_", I94,K94)</f>
        <v>93_MAS1_3_B2</v>
      </c>
    </row>
    <row r="95" spans="1:13" x14ac:dyDescent="0.2">
      <c r="A95" s="4" t="s">
        <v>31</v>
      </c>
      <c r="B95" s="4">
        <v>94</v>
      </c>
      <c r="C95" s="4">
        <v>3</v>
      </c>
      <c r="D95" s="4" t="s">
        <v>17</v>
      </c>
      <c r="E95" s="4" t="s">
        <v>7</v>
      </c>
      <c r="F95" s="4">
        <v>60</v>
      </c>
      <c r="G95" s="4">
        <v>3</v>
      </c>
      <c r="H95" s="4" t="s">
        <v>46</v>
      </c>
      <c r="I95" s="4" t="s">
        <v>26</v>
      </c>
      <c r="J95" s="4" t="s">
        <v>29</v>
      </c>
      <c r="K95" s="4">
        <v>3</v>
      </c>
      <c r="L95" s="5" t="s">
        <v>21</v>
      </c>
      <c r="M95" s="4" t="str">
        <f>_xlfn.CONCAT(B95,"_",D95,"_",G95,"_", I95,K95)</f>
        <v>94_MAS1_3_B3</v>
      </c>
    </row>
    <row r="96" spans="1:13" x14ac:dyDescent="0.2">
      <c r="A96" s="4" t="s">
        <v>31</v>
      </c>
      <c r="B96" s="4">
        <v>95</v>
      </c>
      <c r="C96" s="4">
        <v>3</v>
      </c>
      <c r="D96" s="4" t="s">
        <v>17</v>
      </c>
      <c r="E96" s="4" t="s">
        <v>7</v>
      </c>
      <c r="F96" s="4">
        <v>60</v>
      </c>
      <c r="G96" s="4">
        <v>3</v>
      </c>
      <c r="H96" s="4" t="s">
        <v>46</v>
      </c>
      <c r="I96" s="4" t="s">
        <v>26</v>
      </c>
      <c r="J96" s="4" t="s">
        <v>29</v>
      </c>
      <c r="K96" s="4">
        <v>4</v>
      </c>
      <c r="L96" s="5" t="s">
        <v>23</v>
      </c>
      <c r="M96" s="4" t="str">
        <f>_xlfn.CONCAT(B96,"_",D96,"_",G96,"_", I96,K96)</f>
        <v>95_MAS1_3_B4</v>
      </c>
    </row>
    <row r="97" spans="1:13" x14ac:dyDescent="0.2">
      <c r="A97" s="4" t="s">
        <v>31</v>
      </c>
      <c r="B97" s="4">
        <v>96</v>
      </c>
      <c r="C97" s="4">
        <v>3</v>
      </c>
      <c r="D97" s="4" t="s">
        <v>17</v>
      </c>
      <c r="E97" s="4" t="s">
        <v>7</v>
      </c>
      <c r="F97" s="4">
        <v>60</v>
      </c>
      <c r="G97" s="4">
        <v>3</v>
      </c>
      <c r="H97" s="4" t="s">
        <v>46</v>
      </c>
      <c r="I97" s="4" t="s">
        <v>26</v>
      </c>
      <c r="J97" s="4" t="s">
        <v>29</v>
      </c>
      <c r="K97" s="4">
        <v>5</v>
      </c>
      <c r="L97" s="5" t="s">
        <v>25</v>
      </c>
      <c r="M97" s="4" t="str">
        <f>_xlfn.CONCAT(B97,"_",D97,"_",G97,"_", I97,K97)</f>
        <v>96_MAS1_3_B5</v>
      </c>
    </row>
    <row r="98" spans="1:13" x14ac:dyDescent="0.2">
      <c r="A98" s="4" t="s">
        <v>31</v>
      </c>
      <c r="B98" s="4">
        <v>97</v>
      </c>
      <c r="C98" s="4">
        <v>3</v>
      </c>
      <c r="D98" s="4" t="s">
        <v>17</v>
      </c>
      <c r="E98" s="4" t="s">
        <v>7</v>
      </c>
      <c r="F98" s="4">
        <v>60</v>
      </c>
      <c r="G98" s="4">
        <v>3</v>
      </c>
      <c r="H98" s="4" t="s">
        <v>46</v>
      </c>
      <c r="I98" s="4" t="s">
        <v>27</v>
      </c>
      <c r="J98" s="4" t="s">
        <v>29</v>
      </c>
      <c r="K98" s="4">
        <v>1</v>
      </c>
      <c r="L98" s="4" t="s">
        <v>14</v>
      </c>
      <c r="M98" s="4" t="str">
        <f>_xlfn.CONCAT(B98,"_",D98,"_",G98,"_", I98,K98)</f>
        <v>97_MAS1_3_C1</v>
      </c>
    </row>
    <row r="99" spans="1:13" x14ac:dyDescent="0.2">
      <c r="A99" s="4" t="s">
        <v>31</v>
      </c>
      <c r="B99" s="4">
        <v>98</v>
      </c>
      <c r="C99" s="4">
        <v>3</v>
      </c>
      <c r="D99" s="4" t="s">
        <v>17</v>
      </c>
      <c r="E99" s="4" t="s">
        <v>7</v>
      </c>
      <c r="F99" s="4">
        <v>60</v>
      </c>
      <c r="G99" s="4">
        <v>3</v>
      </c>
      <c r="H99" s="4" t="s">
        <v>46</v>
      </c>
      <c r="I99" s="4" t="s">
        <v>27</v>
      </c>
      <c r="J99" s="4" t="s">
        <v>29</v>
      </c>
      <c r="K99" s="4">
        <v>2</v>
      </c>
      <c r="L99" s="5" t="s">
        <v>19</v>
      </c>
      <c r="M99" s="4" t="str">
        <f>_xlfn.CONCAT(B99,"_",D99,"_",G99,"_", I99,K99)</f>
        <v>98_MAS1_3_C2</v>
      </c>
    </row>
    <row r="100" spans="1:13" x14ac:dyDescent="0.2">
      <c r="A100" s="4" t="s">
        <v>31</v>
      </c>
      <c r="B100" s="4">
        <v>99</v>
      </c>
      <c r="C100" s="4">
        <v>3</v>
      </c>
      <c r="D100" s="4" t="s">
        <v>17</v>
      </c>
      <c r="E100" s="4" t="s">
        <v>7</v>
      </c>
      <c r="F100" s="4">
        <v>60</v>
      </c>
      <c r="G100" s="4">
        <v>3</v>
      </c>
      <c r="H100" s="4" t="s">
        <v>46</v>
      </c>
      <c r="I100" s="4" t="s">
        <v>27</v>
      </c>
      <c r="J100" s="4" t="s">
        <v>29</v>
      </c>
      <c r="K100" s="4">
        <v>3</v>
      </c>
      <c r="L100" s="5" t="s">
        <v>21</v>
      </c>
      <c r="M100" s="4" t="str">
        <f>_xlfn.CONCAT(B100,"_",D100,"_",G100,"_", I100,K100)</f>
        <v>99_MAS1_3_C3</v>
      </c>
    </row>
    <row r="101" spans="1:13" x14ac:dyDescent="0.2">
      <c r="A101" s="4" t="s">
        <v>31</v>
      </c>
      <c r="B101" s="4">
        <v>100</v>
      </c>
      <c r="C101" s="4">
        <v>3</v>
      </c>
      <c r="D101" s="4" t="s">
        <v>17</v>
      </c>
      <c r="E101" s="4" t="s">
        <v>7</v>
      </c>
      <c r="F101" s="4">
        <v>60</v>
      </c>
      <c r="G101" s="4">
        <v>3</v>
      </c>
      <c r="H101" s="4" t="s">
        <v>46</v>
      </c>
      <c r="I101" s="4" t="s">
        <v>27</v>
      </c>
      <c r="J101" s="4" t="s">
        <v>29</v>
      </c>
      <c r="K101" s="4">
        <v>4</v>
      </c>
      <c r="L101" s="5" t="s">
        <v>23</v>
      </c>
      <c r="M101" s="4" t="str">
        <f>_xlfn.CONCAT(B101,"_",D101,"_",G101,"_", I101,K101)</f>
        <v>100_MAS1_3_C4</v>
      </c>
    </row>
    <row r="102" spans="1:13" x14ac:dyDescent="0.2">
      <c r="A102" s="4" t="s">
        <v>31</v>
      </c>
      <c r="B102" s="4">
        <v>101</v>
      </c>
      <c r="C102" s="4">
        <v>3</v>
      </c>
      <c r="D102" s="4" t="s">
        <v>17</v>
      </c>
      <c r="E102" s="4" t="s">
        <v>7</v>
      </c>
      <c r="F102" s="4">
        <v>60</v>
      </c>
      <c r="G102" s="4">
        <v>3</v>
      </c>
      <c r="H102" s="4" t="s">
        <v>46</v>
      </c>
      <c r="I102" s="4" t="s">
        <v>27</v>
      </c>
      <c r="J102" s="4" t="s">
        <v>29</v>
      </c>
      <c r="K102" s="4">
        <v>5</v>
      </c>
      <c r="L102" s="5" t="s">
        <v>25</v>
      </c>
      <c r="M102" s="4" t="str">
        <f>_xlfn.CONCAT(B102,"_",D102,"_",G102,"_", I102,K102)</f>
        <v>101_MAS1_3_C5</v>
      </c>
    </row>
    <row r="103" spans="1:13" x14ac:dyDescent="0.2">
      <c r="A103" s="4" t="s">
        <v>31</v>
      </c>
      <c r="B103" s="4">
        <v>102</v>
      </c>
      <c r="C103" s="4">
        <v>3</v>
      </c>
      <c r="D103" s="4" t="s">
        <v>17</v>
      </c>
      <c r="E103" s="4" t="s">
        <v>7</v>
      </c>
      <c r="F103" s="4">
        <v>60</v>
      </c>
      <c r="G103" s="4">
        <v>4</v>
      </c>
      <c r="H103" s="4" t="s">
        <v>47</v>
      </c>
      <c r="I103" s="4" t="s">
        <v>16</v>
      </c>
      <c r="J103" s="4" t="s">
        <v>12</v>
      </c>
      <c r="K103" s="4">
        <v>1</v>
      </c>
      <c r="L103" s="4" t="s">
        <v>14</v>
      </c>
      <c r="M103" s="4" t="str">
        <f>_xlfn.CONCAT(B103,"_",D103,"_",G103,"_", I103,K103)</f>
        <v>102_MAS1_4_A1</v>
      </c>
    </row>
    <row r="104" spans="1:13" x14ac:dyDescent="0.2">
      <c r="A104" s="4" t="s">
        <v>31</v>
      </c>
      <c r="B104" s="4">
        <v>103</v>
      </c>
      <c r="C104" s="4">
        <v>3</v>
      </c>
      <c r="D104" s="4" t="s">
        <v>17</v>
      </c>
      <c r="E104" s="4" t="s">
        <v>7</v>
      </c>
      <c r="F104" s="4">
        <v>60</v>
      </c>
      <c r="G104" s="4">
        <v>4</v>
      </c>
      <c r="H104" s="4" t="s">
        <v>47</v>
      </c>
      <c r="I104" s="4" t="s">
        <v>16</v>
      </c>
      <c r="J104" s="4" t="s">
        <v>12</v>
      </c>
      <c r="K104" s="4">
        <v>2</v>
      </c>
      <c r="L104" s="5" t="s">
        <v>19</v>
      </c>
      <c r="M104" s="4" t="str">
        <f>_xlfn.CONCAT(B104,"_",D104,"_",G104,"_", I104,K104)</f>
        <v>103_MAS1_4_A2</v>
      </c>
    </row>
    <row r="105" spans="1:13" x14ac:dyDescent="0.2">
      <c r="A105" s="4" t="s">
        <v>31</v>
      </c>
      <c r="B105" s="4">
        <v>104</v>
      </c>
      <c r="C105" s="4">
        <v>3</v>
      </c>
      <c r="D105" s="4" t="s">
        <v>17</v>
      </c>
      <c r="E105" s="4" t="s">
        <v>7</v>
      </c>
      <c r="F105" s="4">
        <v>60</v>
      </c>
      <c r="G105" s="4">
        <v>4</v>
      </c>
      <c r="H105" s="4" t="s">
        <v>47</v>
      </c>
      <c r="I105" s="4" t="s">
        <v>16</v>
      </c>
      <c r="J105" s="4" t="s">
        <v>12</v>
      </c>
      <c r="K105" s="4">
        <v>3</v>
      </c>
      <c r="L105" s="5" t="s">
        <v>21</v>
      </c>
      <c r="M105" s="4" t="str">
        <f>_xlfn.CONCAT(B105,"_",D105,"_",G105,"_", I105,K105)</f>
        <v>104_MAS1_4_A3</v>
      </c>
    </row>
    <row r="106" spans="1:13" x14ac:dyDescent="0.2">
      <c r="A106" s="4" t="s">
        <v>31</v>
      </c>
      <c r="B106" s="4">
        <v>105</v>
      </c>
      <c r="C106" s="4">
        <v>3</v>
      </c>
      <c r="D106" s="4" t="s">
        <v>17</v>
      </c>
      <c r="E106" s="4" t="s">
        <v>7</v>
      </c>
      <c r="F106" s="4">
        <v>60</v>
      </c>
      <c r="G106" s="4">
        <v>4</v>
      </c>
      <c r="H106" s="4" t="s">
        <v>47</v>
      </c>
      <c r="I106" s="4" t="s">
        <v>16</v>
      </c>
      <c r="J106" s="4" t="s">
        <v>12</v>
      </c>
      <c r="K106" s="4">
        <v>4</v>
      </c>
      <c r="L106" s="5" t="s">
        <v>23</v>
      </c>
      <c r="M106" s="4" t="str">
        <f>_xlfn.CONCAT(B106,"_",D106,"_",G106,"_", I106,K106)</f>
        <v>105_MAS1_4_A4</v>
      </c>
    </row>
    <row r="107" spans="1:13" x14ac:dyDescent="0.2">
      <c r="A107" s="4" t="s">
        <v>31</v>
      </c>
      <c r="B107" s="4">
        <v>106</v>
      </c>
      <c r="C107" s="4">
        <v>3</v>
      </c>
      <c r="D107" s="4" t="s">
        <v>17</v>
      </c>
      <c r="E107" s="4" t="s">
        <v>7</v>
      </c>
      <c r="F107" s="4">
        <v>60</v>
      </c>
      <c r="G107" s="4">
        <v>4</v>
      </c>
      <c r="H107" s="4" t="s">
        <v>47</v>
      </c>
      <c r="I107" s="4" t="s">
        <v>16</v>
      </c>
      <c r="J107" s="4" t="s">
        <v>12</v>
      </c>
      <c r="K107" s="4">
        <v>5</v>
      </c>
      <c r="L107" s="5" t="s">
        <v>25</v>
      </c>
      <c r="M107" s="4" t="str">
        <f>_xlfn.CONCAT(B107,"_",D107,"_",G107,"_", I107,K107)</f>
        <v>106_MAS1_4_A5</v>
      </c>
    </row>
    <row r="108" spans="1:13" x14ac:dyDescent="0.2">
      <c r="A108" s="2" t="s">
        <v>31</v>
      </c>
      <c r="B108" s="2">
        <v>107</v>
      </c>
      <c r="C108" s="2">
        <v>3</v>
      </c>
      <c r="D108" s="2" t="s">
        <v>17</v>
      </c>
      <c r="E108" s="2" t="s">
        <v>7</v>
      </c>
      <c r="F108" s="2">
        <v>60</v>
      </c>
      <c r="G108" s="2">
        <v>5</v>
      </c>
      <c r="H108" s="2" t="s">
        <v>48</v>
      </c>
      <c r="I108" s="2" t="s">
        <v>16</v>
      </c>
      <c r="J108" s="2" t="s">
        <v>12</v>
      </c>
      <c r="K108" s="2">
        <v>1</v>
      </c>
      <c r="L108" s="2" t="s">
        <v>14</v>
      </c>
      <c r="M108" s="2" t="str">
        <f>_xlfn.CONCAT(B108,"_",D108,"_",G108,"_", I108,K108)</f>
        <v>107_MAS1_5_A1</v>
      </c>
    </row>
    <row r="109" spans="1:13" x14ac:dyDescent="0.2">
      <c r="A109" s="2" t="s">
        <v>31</v>
      </c>
      <c r="B109" s="2">
        <v>108</v>
      </c>
      <c r="C109" s="2">
        <v>3</v>
      </c>
      <c r="D109" s="2" t="s">
        <v>17</v>
      </c>
      <c r="E109" s="2" t="s">
        <v>7</v>
      </c>
      <c r="F109" s="2">
        <v>60</v>
      </c>
      <c r="G109" s="2">
        <v>5</v>
      </c>
      <c r="H109" s="2" t="s">
        <v>48</v>
      </c>
      <c r="I109" s="2" t="s">
        <v>16</v>
      </c>
      <c r="J109" s="2" t="s">
        <v>12</v>
      </c>
      <c r="K109" s="2">
        <v>2</v>
      </c>
      <c r="L109" s="3" t="s">
        <v>19</v>
      </c>
      <c r="M109" s="2" t="str">
        <f>_xlfn.CONCAT(B109,"_",D109,"_",G109,"_", I109,K109)</f>
        <v>108_MAS1_5_A2</v>
      </c>
    </row>
    <row r="110" spans="1:13" x14ac:dyDescent="0.2">
      <c r="A110" s="2" t="s">
        <v>31</v>
      </c>
      <c r="B110" s="2">
        <v>109</v>
      </c>
      <c r="C110" s="2">
        <v>3</v>
      </c>
      <c r="D110" s="2" t="s">
        <v>17</v>
      </c>
      <c r="E110" s="2" t="s">
        <v>7</v>
      </c>
      <c r="F110" s="2">
        <v>60</v>
      </c>
      <c r="G110" s="2">
        <v>5</v>
      </c>
      <c r="H110" s="2" t="s">
        <v>48</v>
      </c>
      <c r="I110" s="2" t="s">
        <v>16</v>
      </c>
      <c r="J110" s="2" t="s">
        <v>12</v>
      </c>
      <c r="K110" s="2">
        <v>3</v>
      </c>
      <c r="L110" s="3" t="s">
        <v>21</v>
      </c>
      <c r="M110" s="2" t="str">
        <f>_xlfn.CONCAT(B110,"_",D110,"_",G110,"_", I110,K110)</f>
        <v>109_MAS1_5_A3</v>
      </c>
    </row>
    <row r="111" spans="1:13" x14ac:dyDescent="0.2">
      <c r="A111" s="2" t="s">
        <v>31</v>
      </c>
      <c r="B111" s="2">
        <v>110</v>
      </c>
      <c r="C111" s="2">
        <v>3</v>
      </c>
      <c r="D111" s="2" t="s">
        <v>17</v>
      </c>
      <c r="E111" s="2" t="s">
        <v>7</v>
      </c>
      <c r="F111" s="2">
        <v>60</v>
      </c>
      <c r="G111" s="2">
        <v>5</v>
      </c>
      <c r="H111" s="2" t="s">
        <v>48</v>
      </c>
      <c r="I111" s="2" t="s">
        <v>16</v>
      </c>
      <c r="J111" s="2" t="s">
        <v>12</v>
      </c>
      <c r="K111" s="2">
        <v>4</v>
      </c>
      <c r="L111" s="3" t="s">
        <v>23</v>
      </c>
      <c r="M111" s="2" t="str">
        <f>_xlfn.CONCAT(B111,"_",D111,"_",G111,"_", I111,K111)</f>
        <v>110_MAS1_5_A4</v>
      </c>
    </row>
    <row r="112" spans="1:13" x14ac:dyDescent="0.2">
      <c r="A112" s="2" t="s">
        <v>31</v>
      </c>
      <c r="B112" s="2">
        <v>111</v>
      </c>
      <c r="C112" s="2">
        <v>3</v>
      </c>
      <c r="D112" s="2" t="s">
        <v>17</v>
      </c>
      <c r="E112" s="2" t="s">
        <v>7</v>
      </c>
      <c r="F112" s="2">
        <v>60</v>
      </c>
      <c r="G112" s="2">
        <v>5</v>
      </c>
      <c r="H112" s="2" t="s">
        <v>48</v>
      </c>
      <c r="I112" s="2" t="s">
        <v>16</v>
      </c>
      <c r="J112" s="2" t="s">
        <v>12</v>
      </c>
      <c r="K112" s="2">
        <v>5</v>
      </c>
      <c r="L112" s="3" t="s">
        <v>25</v>
      </c>
      <c r="M112" s="2" t="str">
        <f>_xlfn.CONCAT(B112,"_",D112,"_",G112,"_", I112,K112)</f>
        <v>111_MAS1_5_A5</v>
      </c>
    </row>
    <row r="113" spans="1:13" x14ac:dyDescent="0.2">
      <c r="A113" s="4" t="s">
        <v>31</v>
      </c>
      <c r="B113" s="4">
        <v>112</v>
      </c>
      <c r="C113" s="4">
        <v>3</v>
      </c>
      <c r="D113" s="4" t="s">
        <v>17</v>
      </c>
      <c r="E113" s="4" t="s">
        <v>7</v>
      </c>
      <c r="F113" s="4">
        <v>60</v>
      </c>
      <c r="G113" s="4">
        <v>5</v>
      </c>
      <c r="H113" s="4" t="s">
        <v>48</v>
      </c>
      <c r="I113" s="4" t="s">
        <v>26</v>
      </c>
      <c r="J113" s="4" t="s">
        <v>29</v>
      </c>
      <c r="K113" s="4">
        <v>1</v>
      </c>
      <c r="L113" s="4" t="s">
        <v>14</v>
      </c>
      <c r="M113" s="4" t="str">
        <f>_xlfn.CONCAT(B113,"_",D113,"_",G113,"_", I113,K113)</f>
        <v>112_MAS1_5_B1</v>
      </c>
    </row>
    <row r="114" spans="1:13" x14ac:dyDescent="0.2">
      <c r="A114" s="4" t="s">
        <v>31</v>
      </c>
      <c r="B114" s="4">
        <v>113</v>
      </c>
      <c r="C114" s="4">
        <v>3</v>
      </c>
      <c r="D114" s="4" t="s">
        <v>17</v>
      </c>
      <c r="E114" s="4" t="s">
        <v>7</v>
      </c>
      <c r="F114" s="4">
        <v>60</v>
      </c>
      <c r="G114" s="4">
        <v>5</v>
      </c>
      <c r="H114" s="4" t="s">
        <v>48</v>
      </c>
      <c r="I114" s="4" t="s">
        <v>26</v>
      </c>
      <c r="J114" s="4" t="s">
        <v>29</v>
      </c>
      <c r="K114" s="4">
        <v>2</v>
      </c>
      <c r="L114" s="5" t="s">
        <v>19</v>
      </c>
      <c r="M114" s="4" t="str">
        <f>_xlfn.CONCAT(B114,"_",D114,"_",G114,"_", I114,K114)</f>
        <v>113_MAS1_5_B2</v>
      </c>
    </row>
    <row r="115" spans="1:13" x14ac:dyDescent="0.2">
      <c r="A115" s="4" t="s">
        <v>31</v>
      </c>
      <c r="B115" s="4">
        <v>114</v>
      </c>
      <c r="C115" s="4">
        <v>3</v>
      </c>
      <c r="D115" s="4" t="s">
        <v>17</v>
      </c>
      <c r="E115" s="4" t="s">
        <v>7</v>
      </c>
      <c r="F115" s="4">
        <v>60</v>
      </c>
      <c r="G115" s="4">
        <v>5</v>
      </c>
      <c r="H115" s="4" t="s">
        <v>48</v>
      </c>
      <c r="I115" s="4" t="s">
        <v>26</v>
      </c>
      <c r="J115" s="4" t="s">
        <v>29</v>
      </c>
      <c r="K115" s="4">
        <v>3</v>
      </c>
      <c r="L115" s="5" t="s">
        <v>21</v>
      </c>
      <c r="M115" s="4" t="str">
        <f>_xlfn.CONCAT(B115,"_",D115,"_",G115,"_", I115,K115)</f>
        <v>114_MAS1_5_B3</v>
      </c>
    </row>
    <row r="116" spans="1:13" x14ac:dyDescent="0.2">
      <c r="A116" s="4" t="s">
        <v>31</v>
      </c>
      <c r="B116" s="4">
        <v>115</v>
      </c>
      <c r="C116" s="4">
        <v>3</v>
      </c>
      <c r="D116" s="4" t="s">
        <v>17</v>
      </c>
      <c r="E116" s="4" t="s">
        <v>7</v>
      </c>
      <c r="F116" s="4">
        <v>60</v>
      </c>
      <c r="G116" s="4">
        <v>5</v>
      </c>
      <c r="H116" s="4" t="s">
        <v>48</v>
      </c>
      <c r="I116" s="4" t="s">
        <v>26</v>
      </c>
      <c r="J116" s="4" t="s">
        <v>29</v>
      </c>
      <c r="K116" s="4">
        <v>4</v>
      </c>
      <c r="L116" s="5" t="s">
        <v>23</v>
      </c>
      <c r="M116" s="4" t="str">
        <f>_xlfn.CONCAT(B116,"_",D116,"_",G116,"_", I116,K116)</f>
        <v>115_MAS1_5_B4</v>
      </c>
    </row>
    <row r="117" spans="1:13" x14ac:dyDescent="0.2">
      <c r="A117" s="4" t="s">
        <v>31</v>
      </c>
      <c r="B117" s="4">
        <v>116</v>
      </c>
      <c r="C117" s="4">
        <v>3</v>
      </c>
      <c r="D117" s="4" t="s">
        <v>17</v>
      </c>
      <c r="E117" s="4" t="s">
        <v>7</v>
      </c>
      <c r="F117" s="4">
        <v>60</v>
      </c>
      <c r="G117" s="4">
        <v>5</v>
      </c>
      <c r="H117" s="4" t="s">
        <v>48</v>
      </c>
      <c r="I117" s="4" t="s">
        <v>26</v>
      </c>
      <c r="J117" s="4" t="s">
        <v>29</v>
      </c>
      <c r="K117" s="4">
        <v>5</v>
      </c>
      <c r="L117" s="5" t="s">
        <v>25</v>
      </c>
      <c r="M117" s="4" t="str">
        <f>_xlfn.CONCAT(B117,"_",D117,"_",G117,"_", I117,K117)</f>
        <v>116_MAS1_5_B5</v>
      </c>
    </row>
    <row r="118" spans="1:13" x14ac:dyDescent="0.2">
      <c r="A118" s="4" t="s">
        <v>31</v>
      </c>
      <c r="B118" s="4">
        <v>117</v>
      </c>
      <c r="C118" s="4">
        <v>3</v>
      </c>
      <c r="D118" s="4" t="s">
        <v>17</v>
      </c>
      <c r="E118" s="4" t="s">
        <v>7</v>
      </c>
      <c r="F118" s="4">
        <v>60</v>
      </c>
      <c r="G118" s="4">
        <v>5</v>
      </c>
      <c r="H118" s="4" t="s">
        <v>48</v>
      </c>
      <c r="I118" s="4" t="s">
        <v>27</v>
      </c>
      <c r="J118" s="4" t="s">
        <v>29</v>
      </c>
      <c r="K118" s="4">
        <v>1</v>
      </c>
      <c r="L118" s="4" t="s">
        <v>14</v>
      </c>
      <c r="M118" s="4" t="str">
        <f>_xlfn.CONCAT(B118,"_",D118,"_",G118,"_", I118,K118)</f>
        <v>117_MAS1_5_C1</v>
      </c>
    </row>
    <row r="119" spans="1:13" x14ac:dyDescent="0.2">
      <c r="A119" s="4" t="s">
        <v>31</v>
      </c>
      <c r="B119" s="4">
        <v>118</v>
      </c>
      <c r="C119" s="4">
        <v>3</v>
      </c>
      <c r="D119" s="4" t="s">
        <v>17</v>
      </c>
      <c r="E119" s="4" t="s">
        <v>7</v>
      </c>
      <c r="F119" s="4">
        <v>60</v>
      </c>
      <c r="G119" s="4">
        <v>5</v>
      </c>
      <c r="H119" s="4" t="s">
        <v>48</v>
      </c>
      <c r="I119" s="4" t="s">
        <v>27</v>
      </c>
      <c r="J119" s="4" t="s">
        <v>29</v>
      </c>
      <c r="K119" s="4">
        <v>2</v>
      </c>
      <c r="L119" s="5" t="s">
        <v>19</v>
      </c>
      <c r="M119" s="4" t="str">
        <f>_xlfn.CONCAT(B119,"_",D119,"_",G119,"_", I119,K119)</f>
        <v>118_MAS1_5_C2</v>
      </c>
    </row>
    <row r="120" spans="1:13" x14ac:dyDescent="0.2">
      <c r="A120" s="4" t="s">
        <v>31</v>
      </c>
      <c r="B120" s="4">
        <v>119</v>
      </c>
      <c r="C120" s="4">
        <v>3</v>
      </c>
      <c r="D120" s="4" t="s">
        <v>17</v>
      </c>
      <c r="E120" s="4" t="s">
        <v>7</v>
      </c>
      <c r="F120" s="4">
        <v>60</v>
      </c>
      <c r="G120" s="4">
        <v>5</v>
      </c>
      <c r="H120" s="4" t="s">
        <v>48</v>
      </c>
      <c r="I120" s="4" t="s">
        <v>27</v>
      </c>
      <c r="J120" s="4" t="s">
        <v>29</v>
      </c>
      <c r="K120" s="4">
        <v>3</v>
      </c>
      <c r="L120" s="5" t="s">
        <v>21</v>
      </c>
      <c r="M120" s="4" t="str">
        <f>_xlfn.CONCAT(B120,"_",D120,"_",G120,"_", I120,K120)</f>
        <v>119_MAS1_5_C3</v>
      </c>
    </row>
    <row r="121" spans="1:13" x14ac:dyDescent="0.2">
      <c r="A121" s="4" t="s">
        <v>31</v>
      </c>
      <c r="B121" s="4">
        <v>120</v>
      </c>
      <c r="C121" s="4">
        <v>3</v>
      </c>
      <c r="D121" s="4" t="s">
        <v>17</v>
      </c>
      <c r="E121" s="4" t="s">
        <v>7</v>
      </c>
      <c r="F121" s="4">
        <v>60</v>
      </c>
      <c r="G121" s="4">
        <v>5</v>
      </c>
      <c r="H121" s="4" t="s">
        <v>48</v>
      </c>
      <c r="I121" s="4" t="s">
        <v>27</v>
      </c>
      <c r="J121" s="4" t="s">
        <v>29</v>
      </c>
      <c r="K121" s="4">
        <v>4</v>
      </c>
      <c r="L121" s="5" t="s">
        <v>23</v>
      </c>
      <c r="M121" s="4" t="str">
        <f>_xlfn.CONCAT(B121,"_",D121,"_",G121,"_", I121,K121)</f>
        <v>120_MAS1_5_C4</v>
      </c>
    </row>
    <row r="122" spans="1:13" x14ac:dyDescent="0.2">
      <c r="A122" s="4" t="s">
        <v>31</v>
      </c>
      <c r="B122" s="4">
        <v>121</v>
      </c>
      <c r="C122" s="4">
        <v>3</v>
      </c>
      <c r="D122" s="4" t="s">
        <v>17</v>
      </c>
      <c r="E122" s="4" t="s">
        <v>7</v>
      </c>
      <c r="F122" s="4">
        <v>60</v>
      </c>
      <c r="G122" s="4">
        <v>5</v>
      </c>
      <c r="H122" s="4" t="s">
        <v>48</v>
      </c>
      <c r="I122" s="4" t="s">
        <v>27</v>
      </c>
      <c r="J122" s="4" t="s">
        <v>29</v>
      </c>
      <c r="K122" s="4">
        <v>5</v>
      </c>
      <c r="L122" s="5" t="s">
        <v>25</v>
      </c>
      <c r="M122" s="4" t="str">
        <f>_xlfn.CONCAT(B122,"_",D122,"_",G122,"_", I122,K122)</f>
        <v>121_MAS1_5_C5</v>
      </c>
    </row>
    <row r="123" spans="1:13" x14ac:dyDescent="0.2">
      <c r="A123" s="2" t="s">
        <v>31</v>
      </c>
      <c r="B123" s="2">
        <v>122</v>
      </c>
      <c r="C123" s="2">
        <v>4</v>
      </c>
      <c r="D123" s="2" t="s">
        <v>18</v>
      </c>
      <c r="E123" s="2" t="s">
        <v>7</v>
      </c>
      <c r="F123" s="2">
        <v>20</v>
      </c>
      <c r="G123" s="2">
        <v>1</v>
      </c>
      <c r="H123" s="2" t="s">
        <v>44</v>
      </c>
      <c r="I123" s="2" t="s">
        <v>16</v>
      </c>
      <c r="J123" s="2" t="s">
        <v>12</v>
      </c>
      <c r="K123" s="2">
        <v>1</v>
      </c>
      <c r="L123" s="2" t="s">
        <v>14</v>
      </c>
      <c r="M123" s="2" t="str">
        <f>_xlfn.CONCAT(B123,"_",D123,"_",G123,"_", I123,K123)</f>
        <v>122_MAS2_1_A1</v>
      </c>
    </row>
    <row r="124" spans="1:13" x14ac:dyDescent="0.2">
      <c r="A124" s="2" t="s">
        <v>31</v>
      </c>
      <c r="B124" s="2">
        <v>123</v>
      </c>
      <c r="C124" s="2">
        <v>4</v>
      </c>
      <c r="D124" s="2" t="s">
        <v>18</v>
      </c>
      <c r="E124" s="2" t="s">
        <v>7</v>
      </c>
      <c r="F124" s="2">
        <v>20</v>
      </c>
      <c r="G124" s="2">
        <v>1</v>
      </c>
      <c r="H124" s="2" t="s">
        <v>44</v>
      </c>
      <c r="I124" s="2" t="s">
        <v>16</v>
      </c>
      <c r="J124" s="2" t="s">
        <v>12</v>
      </c>
      <c r="K124" s="2">
        <v>2</v>
      </c>
      <c r="L124" s="3" t="s">
        <v>19</v>
      </c>
      <c r="M124" s="2" t="str">
        <f>_xlfn.CONCAT(B124,"_",D124,"_",G124,"_", I124,K124)</f>
        <v>123_MAS2_1_A2</v>
      </c>
    </row>
    <row r="125" spans="1:13" x14ac:dyDescent="0.2">
      <c r="A125" s="2" t="s">
        <v>31</v>
      </c>
      <c r="B125" s="2">
        <v>124</v>
      </c>
      <c r="C125" s="2">
        <v>4</v>
      </c>
      <c r="D125" s="2" t="s">
        <v>18</v>
      </c>
      <c r="E125" s="2" t="s">
        <v>7</v>
      </c>
      <c r="F125" s="2">
        <v>20</v>
      </c>
      <c r="G125" s="2">
        <v>1</v>
      </c>
      <c r="H125" s="2" t="s">
        <v>44</v>
      </c>
      <c r="I125" s="2" t="s">
        <v>16</v>
      </c>
      <c r="J125" s="2" t="s">
        <v>12</v>
      </c>
      <c r="K125" s="2">
        <v>3</v>
      </c>
      <c r="L125" s="3" t="s">
        <v>21</v>
      </c>
      <c r="M125" s="2" t="str">
        <f>_xlfn.CONCAT(B125,"_",D125,"_",G125,"_", I125,K125)</f>
        <v>124_MAS2_1_A3</v>
      </c>
    </row>
    <row r="126" spans="1:13" x14ac:dyDescent="0.2">
      <c r="A126" s="2" t="s">
        <v>31</v>
      </c>
      <c r="B126" s="2">
        <v>125</v>
      </c>
      <c r="C126" s="2">
        <v>4</v>
      </c>
      <c r="D126" s="2" t="s">
        <v>18</v>
      </c>
      <c r="E126" s="2" t="s">
        <v>7</v>
      </c>
      <c r="F126" s="2">
        <v>20</v>
      </c>
      <c r="G126" s="2">
        <v>1</v>
      </c>
      <c r="H126" s="2" t="s">
        <v>44</v>
      </c>
      <c r="I126" s="2" t="s">
        <v>16</v>
      </c>
      <c r="J126" s="2" t="s">
        <v>12</v>
      </c>
      <c r="K126" s="2">
        <v>4</v>
      </c>
      <c r="L126" s="3" t="s">
        <v>23</v>
      </c>
      <c r="M126" s="2" t="str">
        <f>_xlfn.CONCAT(B126,"_",D126,"_",G126,"_", I126,K126)</f>
        <v>125_MAS2_1_A4</v>
      </c>
    </row>
    <row r="127" spans="1:13" x14ac:dyDescent="0.2">
      <c r="A127" s="2" t="s">
        <v>31</v>
      </c>
      <c r="B127" s="2">
        <v>126</v>
      </c>
      <c r="C127" s="2">
        <v>4</v>
      </c>
      <c r="D127" s="2" t="s">
        <v>18</v>
      </c>
      <c r="E127" s="2" t="s">
        <v>7</v>
      </c>
      <c r="F127" s="2">
        <v>20</v>
      </c>
      <c r="G127" s="2">
        <v>1</v>
      </c>
      <c r="H127" s="2" t="s">
        <v>44</v>
      </c>
      <c r="I127" s="2" t="s">
        <v>16</v>
      </c>
      <c r="J127" s="2" t="s">
        <v>12</v>
      </c>
      <c r="K127" s="2">
        <v>5</v>
      </c>
      <c r="L127" s="3" t="s">
        <v>25</v>
      </c>
      <c r="M127" s="2" t="str">
        <f>_xlfn.CONCAT(B127,"_",D127,"_",G127,"_", I127,K127)</f>
        <v>126_MAS2_1_A5</v>
      </c>
    </row>
    <row r="128" spans="1:13" x14ac:dyDescent="0.2">
      <c r="A128" s="4" t="s">
        <v>31</v>
      </c>
      <c r="B128" s="4">
        <v>127</v>
      </c>
      <c r="C128" s="4">
        <v>4</v>
      </c>
      <c r="D128" s="4" t="s">
        <v>18</v>
      </c>
      <c r="E128" s="4" t="s">
        <v>7</v>
      </c>
      <c r="F128" s="4">
        <v>20</v>
      </c>
      <c r="G128" s="4">
        <v>1</v>
      </c>
      <c r="H128" s="4" t="s">
        <v>44</v>
      </c>
      <c r="I128" s="4" t="s">
        <v>26</v>
      </c>
      <c r="J128" s="4" t="s">
        <v>29</v>
      </c>
      <c r="K128" s="4">
        <v>1</v>
      </c>
      <c r="L128" s="4" t="s">
        <v>14</v>
      </c>
      <c r="M128" s="4" t="str">
        <f>_xlfn.CONCAT(B128,"_",D128,"_",G128,"_", I128,K128)</f>
        <v>127_MAS2_1_B1</v>
      </c>
    </row>
    <row r="129" spans="1:13" x14ac:dyDescent="0.2">
      <c r="A129" s="4" t="s">
        <v>31</v>
      </c>
      <c r="B129" s="4">
        <v>128</v>
      </c>
      <c r="C129" s="4">
        <v>4</v>
      </c>
      <c r="D129" s="4" t="s">
        <v>18</v>
      </c>
      <c r="E129" s="4" t="s">
        <v>7</v>
      </c>
      <c r="F129" s="4">
        <v>20</v>
      </c>
      <c r="G129" s="4">
        <v>1</v>
      </c>
      <c r="H129" s="4" t="s">
        <v>44</v>
      </c>
      <c r="I129" s="4" t="s">
        <v>26</v>
      </c>
      <c r="J129" s="4" t="s">
        <v>29</v>
      </c>
      <c r="K129" s="4">
        <v>2</v>
      </c>
      <c r="L129" s="5" t="s">
        <v>19</v>
      </c>
      <c r="M129" s="4" t="str">
        <f>_xlfn.CONCAT(B129,"_",D129,"_",G129,"_", I129,K129)</f>
        <v>128_MAS2_1_B2</v>
      </c>
    </row>
    <row r="130" spans="1:13" x14ac:dyDescent="0.2">
      <c r="A130" s="4" t="s">
        <v>31</v>
      </c>
      <c r="B130" s="4">
        <v>129</v>
      </c>
      <c r="C130" s="4">
        <v>4</v>
      </c>
      <c r="D130" s="4" t="s">
        <v>18</v>
      </c>
      <c r="E130" s="4" t="s">
        <v>7</v>
      </c>
      <c r="F130" s="4">
        <v>20</v>
      </c>
      <c r="G130" s="4">
        <v>1</v>
      </c>
      <c r="H130" s="4" t="s">
        <v>44</v>
      </c>
      <c r="I130" s="4" t="s">
        <v>26</v>
      </c>
      <c r="J130" s="4" t="s">
        <v>29</v>
      </c>
      <c r="K130" s="4">
        <v>3</v>
      </c>
      <c r="L130" s="5" t="s">
        <v>21</v>
      </c>
      <c r="M130" s="4" t="str">
        <f>_xlfn.CONCAT(B130,"_",D130,"_",G130,"_", I130,K130)</f>
        <v>129_MAS2_1_B3</v>
      </c>
    </row>
    <row r="131" spans="1:13" x14ac:dyDescent="0.2">
      <c r="A131" s="4" t="s">
        <v>31</v>
      </c>
      <c r="B131" s="4">
        <v>130</v>
      </c>
      <c r="C131" s="4">
        <v>4</v>
      </c>
      <c r="D131" s="4" t="s">
        <v>18</v>
      </c>
      <c r="E131" s="4" t="s">
        <v>7</v>
      </c>
      <c r="F131" s="4">
        <v>20</v>
      </c>
      <c r="G131" s="4">
        <v>1</v>
      </c>
      <c r="H131" s="4" t="s">
        <v>44</v>
      </c>
      <c r="I131" s="4" t="s">
        <v>26</v>
      </c>
      <c r="J131" s="4" t="s">
        <v>29</v>
      </c>
      <c r="K131" s="4">
        <v>4</v>
      </c>
      <c r="L131" s="5" t="s">
        <v>23</v>
      </c>
      <c r="M131" s="4" t="str">
        <f>_xlfn.CONCAT(B131,"_",D131,"_",G131,"_", I131,K131)</f>
        <v>130_MAS2_1_B4</v>
      </c>
    </row>
    <row r="132" spans="1:13" x14ac:dyDescent="0.2">
      <c r="A132" s="4" t="s">
        <v>31</v>
      </c>
      <c r="B132" s="4">
        <v>131</v>
      </c>
      <c r="C132" s="4">
        <v>4</v>
      </c>
      <c r="D132" s="4" t="s">
        <v>18</v>
      </c>
      <c r="E132" s="4" t="s">
        <v>7</v>
      </c>
      <c r="F132" s="4">
        <v>20</v>
      </c>
      <c r="G132" s="4">
        <v>1</v>
      </c>
      <c r="H132" s="4" t="s">
        <v>44</v>
      </c>
      <c r="I132" s="4" t="s">
        <v>26</v>
      </c>
      <c r="J132" s="4" t="s">
        <v>29</v>
      </c>
      <c r="K132" s="4">
        <v>5</v>
      </c>
      <c r="L132" s="5" t="s">
        <v>25</v>
      </c>
      <c r="M132" s="4" t="str">
        <f>_xlfn.CONCAT(B132,"_",D132,"_",G132,"_", I132,K132)</f>
        <v>131_MAS2_1_B5</v>
      </c>
    </row>
    <row r="133" spans="1:13" x14ac:dyDescent="0.2">
      <c r="A133" s="4" t="s">
        <v>31</v>
      </c>
      <c r="B133" s="4">
        <v>132</v>
      </c>
      <c r="C133" s="4">
        <v>4</v>
      </c>
      <c r="D133" s="4" t="s">
        <v>18</v>
      </c>
      <c r="E133" s="4" t="s">
        <v>7</v>
      </c>
      <c r="F133" s="4">
        <v>20</v>
      </c>
      <c r="G133" s="4">
        <v>1</v>
      </c>
      <c r="H133" s="4" t="s">
        <v>44</v>
      </c>
      <c r="I133" s="4" t="s">
        <v>27</v>
      </c>
      <c r="J133" s="4" t="s">
        <v>29</v>
      </c>
      <c r="K133" s="4">
        <v>1</v>
      </c>
      <c r="L133" s="4" t="s">
        <v>14</v>
      </c>
      <c r="M133" s="4" t="str">
        <f>_xlfn.CONCAT(B133,"_",D133,"_",G133,"_", I133,K133)</f>
        <v>132_MAS2_1_C1</v>
      </c>
    </row>
    <row r="134" spans="1:13" x14ac:dyDescent="0.2">
      <c r="A134" s="4" t="s">
        <v>31</v>
      </c>
      <c r="B134" s="4">
        <v>133</v>
      </c>
      <c r="C134" s="4">
        <v>4</v>
      </c>
      <c r="D134" s="4" t="s">
        <v>18</v>
      </c>
      <c r="E134" s="4" t="s">
        <v>7</v>
      </c>
      <c r="F134" s="4">
        <v>20</v>
      </c>
      <c r="G134" s="4">
        <v>1</v>
      </c>
      <c r="H134" s="4" t="s">
        <v>44</v>
      </c>
      <c r="I134" s="4" t="s">
        <v>27</v>
      </c>
      <c r="J134" s="4" t="s">
        <v>29</v>
      </c>
      <c r="K134" s="4">
        <v>2</v>
      </c>
      <c r="L134" s="5" t="s">
        <v>19</v>
      </c>
      <c r="M134" s="4" t="str">
        <f>_xlfn.CONCAT(B134,"_",D134,"_",G134,"_", I134,K134)</f>
        <v>133_MAS2_1_C2</v>
      </c>
    </row>
    <row r="135" spans="1:13" x14ac:dyDescent="0.2">
      <c r="A135" s="4" t="s">
        <v>31</v>
      </c>
      <c r="B135" s="4">
        <v>134</v>
      </c>
      <c r="C135" s="4">
        <v>4</v>
      </c>
      <c r="D135" s="4" t="s">
        <v>18</v>
      </c>
      <c r="E135" s="4" t="s">
        <v>7</v>
      </c>
      <c r="F135" s="4">
        <v>20</v>
      </c>
      <c r="G135" s="4">
        <v>1</v>
      </c>
      <c r="H135" s="4" t="s">
        <v>44</v>
      </c>
      <c r="I135" s="4" t="s">
        <v>27</v>
      </c>
      <c r="J135" s="4" t="s">
        <v>29</v>
      </c>
      <c r="K135" s="4">
        <v>3</v>
      </c>
      <c r="L135" s="5" t="s">
        <v>21</v>
      </c>
      <c r="M135" s="4" t="str">
        <f>_xlfn.CONCAT(B135,"_",D135,"_",G135,"_", I135,K135)</f>
        <v>134_MAS2_1_C3</v>
      </c>
    </row>
    <row r="136" spans="1:13" x14ac:dyDescent="0.2">
      <c r="A136" s="4" t="s">
        <v>31</v>
      </c>
      <c r="B136" s="4">
        <v>135</v>
      </c>
      <c r="C136" s="4">
        <v>4</v>
      </c>
      <c r="D136" s="4" t="s">
        <v>18</v>
      </c>
      <c r="E136" s="4" t="s">
        <v>7</v>
      </c>
      <c r="F136" s="4">
        <v>20</v>
      </c>
      <c r="G136" s="4">
        <v>1</v>
      </c>
      <c r="H136" s="4" t="s">
        <v>44</v>
      </c>
      <c r="I136" s="4" t="s">
        <v>27</v>
      </c>
      <c r="J136" s="4" t="s">
        <v>29</v>
      </c>
      <c r="K136" s="4">
        <v>4</v>
      </c>
      <c r="L136" s="5" t="s">
        <v>23</v>
      </c>
      <c r="M136" s="4" t="str">
        <f>_xlfn.CONCAT(B136,"_",D136,"_",G136,"_", I136,K136)</f>
        <v>135_MAS2_1_C4</v>
      </c>
    </row>
    <row r="137" spans="1:13" x14ac:dyDescent="0.2">
      <c r="A137" s="4" t="s">
        <v>31</v>
      </c>
      <c r="B137" s="4">
        <v>136</v>
      </c>
      <c r="C137" s="4">
        <v>4</v>
      </c>
      <c r="D137" s="4" t="s">
        <v>18</v>
      </c>
      <c r="E137" s="4" t="s">
        <v>7</v>
      </c>
      <c r="F137" s="4">
        <v>20</v>
      </c>
      <c r="G137" s="4">
        <v>1</v>
      </c>
      <c r="H137" s="4" t="s">
        <v>44</v>
      </c>
      <c r="I137" s="4" t="s">
        <v>27</v>
      </c>
      <c r="J137" s="4" t="s">
        <v>29</v>
      </c>
      <c r="K137" s="4">
        <v>5</v>
      </c>
      <c r="L137" s="5" t="s">
        <v>25</v>
      </c>
      <c r="M137" s="4" t="str">
        <f>_xlfn.CONCAT(B137,"_",D137,"_",G137,"_", I137,K137)</f>
        <v>136_MAS2_1_C5</v>
      </c>
    </row>
    <row r="138" spans="1:13" x14ac:dyDescent="0.2">
      <c r="A138" s="4" t="s">
        <v>31</v>
      </c>
      <c r="B138" s="4">
        <v>137</v>
      </c>
      <c r="C138" s="4">
        <v>4</v>
      </c>
      <c r="D138" s="4" t="s">
        <v>18</v>
      </c>
      <c r="E138" s="4" t="s">
        <v>7</v>
      </c>
      <c r="F138" s="4">
        <v>20</v>
      </c>
      <c r="G138" s="4">
        <v>2</v>
      </c>
      <c r="H138" s="4" t="s">
        <v>45</v>
      </c>
      <c r="I138" s="4" t="s">
        <v>16</v>
      </c>
      <c r="J138" s="4" t="s">
        <v>12</v>
      </c>
      <c r="K138" s="4">
        <v>1</v>
      </c>
      <c r="L138" s="4" t="s">
        <v>14</v>
      </c>
      <c r="M138" s="4" t="str">
        <f>_xlfn.CONCAT(B138,"_",D138,"_",G138,"_", I138,K138)</f>
        <v>137_MAS2_2_A1</v>
      </c>
    </row>
    <row r="139" spans="1:13" x14ac:dyDescent="0.2">
      <c r="A139" s="4" t="s">
        <v>31</v>
      </c>
      <c r="B139" s="4">
        <v>138</v>
      </c>
      <c r="C139" s="4">
        <v>4</v>
      </c>
      <c r="D139" s="4" t="s">
        <v>18</v>
      </c>
      <c r="E139" s="4" t="s">
        <v>7</v>
      </c>
      <c r="F139" s="4">
        <v>20</v>
      </c>
      <c r="G139" s="4">
        <v>2</v>
      </c>
      <c r="H139" s="4" t="s">
        <v>45</v>
      </c>
      <c r="I139" s="4" t="s">
        <v>16</v>
      </c>
      <c r="J139" s="4" t="s">
        <v>12</v>
      </c>
      <c r="K139" s="4">
        <v>2</v>
      </c>
      <c r="L139" s="5" t="s">
        <v>19</v>
      </c>
      <c r="M139" s="4" t="str">
        <f>_xlfn.CONCAT(B139,"_",D139,"_",G139,"_", I139,K139)</f>
        <v>138_MAS2_2_A2</v>
      </c>
    </row>
    <row r="140" spans="1:13" x14ac:dyDescent="0.2">
      <c r="A140" s="4" t="s">
        <v>31</v>
      </c>
      <c r="B140" s="4">
        <v>139</v>
      </c>
      <c r="C140" s="4">
        <v>4</v>
      </c>
      <c r="D140" s="4" t="s">
        <v>18</v>
      </c>
      <c r="E140" s="4" t="s">
        <v>7</v>
      </c>
      <c r="F140" s="4">
        <v>20</v>
      </c>
      <c r="G140" s="4">
        <v>2</v>
      </c>
      <c r="H140" s="4" t="s">
        <v>45</v>
      </c>
      <c r="I140" s="4" t="s">
        <v>16</v>
      </c>
      <c r="J140" s="4" t="s">
        <v>12</v>
      </c>
      <c r="K140" s="4">
        <v>3</v>
      </c>
      <c r="L140" s="5" t="s">
        <v>21</v>
      </c>
      <c r="M140" s="4" t="str">
        <f>_xlfn.CONCAT(B140,"_",D140,"_",G140,"_", I140,K140)</f>
        <v>139_MAS2_2_A3</v>
      </c>
    </row>
    <row r="141" spans="1:13" x14ac:dyDescent="0.2">
      <c r="A141" s="4" t="s">
        <v>31</v>
      </c>
      <c r="B141" s="4">
        <v>140</v>
      </c>
      <c r="C141" s="4">
        <v>4</v>
      </c>
      <c r="D141" s="4" t="s">
        <v>18</v>
      </c>
      <c r="E141" s="4" t="s">
        <v>7</v>
      </c>
      <c r="F141" s="4">
        <v>20</v>
      </c>
      <c r="G141" s="4">
        <v>2</v>
      </c>
      <c r="H141" s="4" t="s">
        <v>45</v>
      </c>
      <c r="I141" s="4" t="s">
        <v>16</v>
      </c>
      <c r="J141" s="4" t="s">
        <v>12</v>
      </c>
      <c r="K141" s="4">
        <v>4</v>
      </c>
      <c r="L141" s="5" t="s">
        <v>23</v>
      </c>
      <c r="M141" s="4" t="str">
        <f>_xlfn.CONCAT(B141,"_",D141,"_",G141,"_", I141,K141)</f>
        <v>140_MAS2_2_A4</v>
      </c>
    </row>
    <row r="142" spans="1:13" x14ac:dyDescent="0.2">
      <c r="A142" s="4" t="s">
        <v>31</v>
      </c>
      <c r="B142" s="4">
        <v>141</v>
      </c>
      <c r="C142" s="4">
        <v>4</v>
      </c>
      <c r="D142" s="4" t="s">
        <v>18</v>
      </c>
      <c r="E142" s="4" t="s">
        <v>7</v>
      </c>
      <c r="F142" s="4">
        <v>20</v>
      </c>
      <c r="G142" s="4">
        <v>2</v>
      </c>
      <c r="H142" s="4" t="s">
        <v>45</v>
      </c>
      <c r="I142" s="4" t="s">
        <v>16</v>
      </c>
      <c r="J142" s="4" t="s">
        <v>12</v>
      </c>
      <c r="K142" s="4">
        <v>5</v>
      </c>
      <c r="L142" s="5" t="s">
        <v>25</v>
      </c>
      <c r="M142" s="4" t="str">
        <f>_xlfn.CONCAT(B142,"_",D142,"_",G142,"_", I142,K142)</f>
        <v>141_MAS2_2_A5</v>
      </c>
    </row>
    <row r="143" spans="1:13" x14ac:dyDescent="0.2">
      <c r="A143" s="2" t="s">
        <v>31</v>
      </c>
      <c r="B143" s="2">
        <v>142</v>
      </c>
      <c r="C143" s="2">
        <v>4</v>
      </c>
      <c r="D143" s="2" t="s">
        <v>18</v>
      </c>
      <c r="E143" s="2" t="s">
        <v>7</v>
      </c>
      <c r="F143" s="2">
        <v>20</v>
      </c>
      <c r="G143" s="2">
        <v>3</v>
      </c>
      <c r="H143" s="2" t="s">
        <v>46</v>
      </c>
      <c r="I143" s="2" t="s">
        <v>16</v>
      </c>
      <c r="J143" s="2" t="s">
        <v>12</v>
      </c>
      <c r="K143" s="2">
        <v>1</v>
      </c>
      <c r="L143" s="2" t="s">
        <v>14</v>
      </c>
      <c r="M143" s="2" t="str">
        <f>_xlfn.CONCAT(B143,"_",D143,"_",G143,"_", I143,K143)</f>
        <v>142_MAS2_3_A1</v>
      </c>
    </row>
    <row r="144" spans="1:13" x14ac:dyDescent="0.2">
      <c r="A144" s="2" t="s">
        <v>31</v>
      </c>
      <c r="B144" s="2">
        <v>143</v>
      </c>
      <c r="C144" s="2">
        <v>4</v>
      </c>
      <c r="D144" s="2" t="s">
        <v>18</v>
      </c>
      <c r="E144" s="2" t="s">
        <v>7</v>
      </c>
      <c r="F144" s="2">
        <v>20</v>
      </c>
      <c r="G144" s="2">
        <v>3</v>
      </c>
      <c r="H144" s="2" t="s">
        <v>46</v>
      </c>
      <c r="I144" s="2" t="s">
        <v>16</v>
      </c>
      <c r="J144" s="2" t="s">
        <v>12</v>
      </c>
      <c r="K144" s="2">
        <v>2</v>
      </c>
      <c r="L144" s="3" t="s">
        <v>19</v>
      </c>
      <c r="M144" s="2" t="str">
        <f>_xlfn.CONCAT(B144,"_",D144,"_",G144,"_", I144,K144)</f>
        <v>143_MAS2_3_A2</v>
      </c>
    </row>
    <row r="145" spans="1:13" x14ac:dyDescent="0.2">
      <c r="A145" s="2" t="s">
        <v>31</v>
      </c>
      <c r="B145" s="2">
        <v>144</v>
      </c>
      <c r="C145" s="2">
        <v>4</v>
      </c>
      <c r="D145" s="2" t="s">
        <v>18</v>
      </c>
      <c r="E145" s="2" t="s">
        <v>7</v>
      </c>
      <c r="F145" s="2">
        <v>20</v>
      </c>
      <c r="G145" s="2">
        <v>3</v>
      </c>
      <c r="H145" s="2" t="s">
        <v>46</v>
      </c>
      <c r="I145" s="2" t="s">
        <v>16</v>
      </c>
      <c r="J145" s="2" t="s">
        <v>12</v>
      </c>
      <c r="K145" s="2">
        <v>3</v>
      </c>
      <c r="L145" s="3" t="s">
        <v>21</v>
      </c>
      <c r="M145" s="2" t="str">
        <f>_xlfn.CONCAT(B145,"_",D145,"_",G145,"_", I145,K145)</f>
        <v>144_MAS2_3_A3</v>
      </c>
    </row>
    <row r="146" spans="1:13" x14ac:dyDescent="0.2">
      <c r="A146" s="2" t="s">
        <v>31</v>
      </c>
      <c r="B146" s="2">
        <v>145</v>
      </c>
      <c r="C146" s="2">
        <v>4</v>
      </c>
      <c r="D146" s="2" t="s">
        <v>18</v>
      </c>
      <c r="E146" s="2" t="s">
        <v>7</v>
      </c>
      <c r="F146" s="2">
        <v>20</v>
      </c>
      <c r="G146" s="2">
        <v>3</v>
      </c>
      <c r="H146" s="2" t="s">
        <v>46</v>
      </c>
      <c r="I146" s="2" t="s">
        <v>16</v>
      </c>
      <c r="J146" s="2" t="s">
        <v>12</v>
      </c>
      <c r="K146" s="2">
        <v>4</v>
      </c>
      <c r="L146" s="3" t="s">
        <v>23</v>
      </c>
      <c r="M146" s="2" t="str">
        <f>_xlfn.CONCAT(B146,"_",D146,"_",G146,"_", I146,K146)</f>
        <v>145_MAS2_3_A4</v>
      </c>
    </row>
    <row r="147" spans="1:13" x14ac:dyDescent="0.2">
      <c r="A147" s="2" t="s">
        <v>31</v>
      </c>
      <c r="B147" s="2">
        <v>146</v>
      </c>
      <c r="C147" s="2">
        <v>4</v>
      </c>
      <c r="D147" s="2" t="s">
        <v>18</v>
      </c>
      <c r="E147" s="2" t="s">
        <v>7</v>
      </c>
      <c r="F147" s="2">
        <v>20</v>
      </c>
      <c r="G147" s="2">
        <v>3</v>
      </c>
      <c r="H147" s="2" t="s">
        <v>46</v>
      </c>
      <c r="I147" s="2" t="s">
        <v>16</v>
      </c>
      <c r="J147" s="2" t="s">
        <v>12</v>
      </c>
      <c r="K147" s="2">
        <v>5</v>
      </c>
      <c r="L147" s="3" t="s">
        <v>25</v>
      </c>
      <c r="M147" s="2" t="str">
        <f>_xlfn.CONCAT(B147,"_",D147,"_",G147,"_", I147,K147)</f>
        <v>146_MAS2_3_A5</v>
      </c>
    </row>
    <row r="148" spans="1:13" x14ac:dyDescent="0.2">
      <c r="A148" s="4" t="s">
        <v>31</v>
      </c>
      <c r="B148" s="4">
        <v>147</v>
      </c>
      <c r="C148" s="4">
        <v>4</v>
      </c>
      <c r="D148" s="4" t="s">
        <v>18</v>
      </c>
      <c r="E148" s="4" t="s">
        <v>7</v>
      </c>
      <c r="F148" s="4">
        <v>20</v>
      </c>
      <c r="G148" s="4">
        <v>3</v>
      </c>
      <c r="H148" s="4" t="s">
        <v>46</v>
      </c>
      <c r="I148" s="4" t="s">
        <v>26</v>
      </c>
      <c r="J148" s="4" t="s">
        <v>29</v>
      </c>
      <c r="K148" s="4">
        <v>1</v>
      </c>
      <c r="L148" s="4" t="s">
        <v>14</v>
      </c>
      <c r="M148" s="4" t="str">
        <f>_xlfn.CONCAT(B148,"_",D148,"_",G148,"_", I148,K148)</f>
        <v>147_MAS2_3_B1</v>
      </c>
    </row>
    <row r="149" spans="1:13" x14ac:dyDescent="0.2">
      <c r="A149" s="4" t="s">
        <v>31</v>
      </c>
      <c r="B149" s="4">
        <v>148</v>
      </c>
      <c r="C149" s="4">
        <v>4</v>
      </c>
      <c r="D149" s="4" t="s">
        <v>18</v>
      </c>
      <c r="E149" s="4" t="s">
        <v>7</v>
      </c>
      <c r="F149" s="4">
        <v>20</v>
      </c>
      <c r="G149" s="4">
        <v>3</v>
      </c>
      <c r="H149" s="4" t="s">
        <v>46</v>
      </c>
      <c r="I149" s="4" t="s">
        <v>26</v>
      </c>
      <c r="J149" s="4" t="s">
        <v>29</v>
      </c>
      <c r="K149" s="4">
        <v>2</v>
      </c>
      <c r="L149" s="5" t="s">
        <v>19</v>
      </c>
      <c r="M149" s="4" t="str">
        <f>_xlfn.CONCAT(B149,"_",D149,"_",G149,"_", I149,K149)</f>
        <v>148_MAS2_3_B2</v>
      </c>
    </row>
    <row r="150" spans="1:13" x14ac:dyDescent="0.2">
      <c r="A150" s="4" t="s">
        <v>31</v>
      </c>
      <c r="B150" s="4">
        <v>149</v>
      </c>
      <c r="C150" s="4">
        <v>4</v>
      </c>
      <c r="D150" s="4" t="s">
        <v>18</v>
      </c>
      <c r="E150" s="4" t="s">
        <v>7</v>
      </c>
      <c r="F150" s="4">
        <v>20</v>
      </c>
      <c r="G150" s="4">
        <v>3</v>
      </c>
      <c r="H150" s="4" t="s">
        <v>46</v>
      </c>
      <c r="I150" s="4" t="s">
        <v>26</v>
      </c>
      <c r="J150" s="4" t="s">
        <v>29</v>
      </c>
      <c r="K150" s="4">
        <v>3</v>
      </c>
      <c r="L150" s="5" t="s">
        <v>21</v>
      </c>
      <c r="M150" s="4" t="str">
        <f>_xlfn.CONCAT(B150,"_",D150,"_",G150,"_", I150,K150)</f>
        <v>149_MAS2_3_B3</v>
      </c>
    </row>
    <row r="151" spans="1:13" x14ac:dyDescent="0.2">
      <c r="A151" s="4" t="s">
        <v>31</v>
      </c>
      <c r="B151" s="4">
        <v>150</v>
      </c>
      <c r="C151" s="4">
        <v>4</v>
      </c>
      <c r="D151" s="4" t="s">
        <v>18</v>
      </c>
      <c r="E151" s="4" t="s">
        <v>7</v>
      </c>
      <c r="F151" s="4">
        <v>20</v>
      </c>
      <c r="G151" s="4">
        <v>3</v>
      </c>
      <c r="H151" s="4" t="s">
        <v>46</v>
      </c>
      <c r="I151" s="4" t="s">
        <v>26</v>
      </c>
      <c r="J151" s="4" t="s">
        <v>29</v>
      </c>
      <c r="K151" s="4">
        <v>4</v>
      </c>
      <c r="L151" s="5" t="s">
        <v>23</v>
      </c>
      <c r="M151" s="4" t="str">
        <f>_xlfn.CONCAT(B151,"_",D151,"_",G151,"_", I151,K151)</f>
        <v>150_MAS2_3_B4</v>
      </c>
    </row>
    <row r="152" spans="1:13" x14ac:dyDescent="0.2">
      <c r="A152" s="4" t="s">
        <v>31</v>
      </c>
      <c r="B152" s="4">
        <v>151</v>
      </c>
      <c r="C152" s="4">
        <v>4</v>
      </c>
      <c r="D152" s="4" t="s">
        <v>18</v>
      </c>
      <c r="E152" s="4" t="s">
        <v>7</v>
      </c>
      <c r="F152" s="4">
        <v>20</v>
      </c>
      <c r="G152" s="4">
        <v>3</v>
      </c>
      <c r="H152" s="4" t="s">
        <v>46</v>
      </c>
      <c r="I152" s="4" t="s">
        <v>26</v>
      </c>
      <c r="J152" s="4" t="s">
        <v>29</v>
      </c>
      <c r="K152" s="4">
        <v>5</v>
      </c>
      <c r="L152" s="5" t="s">
        <v>25</v>
      </c>
      <c r="M152" s="4" t="str">
        <f>_xlfn.CONCAT(B152,"_",D152,"_",G152,"_", I152,K152)</f>
        <v>151_MAS2_3_B5</v>
      </c>
    </row>
    <row r="153" spans="1:13" x14ac:dyDescent="0.2">
      <c r="A153" s="4" t="s">
        <v>31</v>
      </c>
      <c r="B153" s="4">
        <v>152</v>
      </c>
      <c r="C153" s="4">
        <v>4</v>
      </c>
      <c r="D153" s="4" t="s">
        <v>18</v>
      </c>
      <c r="E153" s="4" t="s">
        <v>7</v>
      </c>
      <c r="F153" s="4">
        <v>20</v>
      </c>
      <c r="G153" s="4">
        <v>3</v>
      </c>
      <c r="H153" s="4" t="s">
        <v>46</v>
      </c>
      <c r="I153" s="4" t="s">
        <v>27</v>
      </c>
      <c r="J153" s="4" t="s">
        <v>29</v>
      </c>
      <c r="K153" s="4">
        <v>1</v>
      </c>
      <c r="L153" s="4" t="s">
        <v>14</v>
      </c>
      <c r="M153" s="4" t="str">
        <f>_xlfn.CONCAT(B153,"_",D153,"_",G153,"_", I153,K153)</f>
        <v>152_MAS2_3_C1</v>
      </c>
    </row>
    <row r="154" spans="1:13" x14ac:dyDescent="0.2">
      <c r="A154" s="4" t="s">
        <v>31</v>
      </c>
      <c r="B154" s="4">
        <v>153</v>
      </c>
      <c r="C154" s="4">
        <v>4</v>
      </c>
      <c r="D154" s="4" t="s">
        <v>18</v>
      </c>
      <c r="E154" s="4" t="s">
        <v>7</v>
      </c>
      <c r="F154" s="4">
        <v>20</v>
      </c>
      <c r="G154" s="4">
        <v>3</v>
      </c>
      <c r="H154" s="4" t="s">
        <v>46</v>
      </c>
      <c r="I154" s="4" t="s">
        <v>27</v>
      </c>
      <c r="J154" s="4" t="s">
        <v>29</v>
      </c>
      <c r="K154" s="4">
        <v>2</v>
      </c>
      <c r="L154" s="5" t="s">
        <v>19</v>
      </c>
      <c r="M154" s="4" t="str">
        <f>_xlfn.CONCAT(B154,"_",D154,"_",G154,"_", I154,K154)</f>
        <v>153_MAS2_3_C2</v>
      </c>
    </row>
    <row r="155" spans="1:13" x14ac:dyDescent="0.2">
      <c r="A155" s="4" t="s">
        <v>31</v>
      </c>
      <c r="B155" s="4">
        <v>154</v>
      </c>
      <c r="C155" s="4">
        <v>4</v>
      </c>
      <c r="D155" s="4" t="s">
        <v>18</v>
      </c>
      <c r="E155" s="4" t="s">
        <v>7</v>
      </c>
      <c r="F155" s="4">
        <v>20</v>
      </c>
      <c r="G155" s="4">
        <v>3</v>
      </c>
      <c r="H155" s="4" t="s">
        <v>46</v>
      </c>
      <c r="I155" s="4" t="s">
        <v>27</v>
      </c>
      <c r="J155" s="4" t="s">
        <v>29</v>
      </c>
      <c r="K155" s="4">
        <v>3</v>
      </c>
      <c r="L155" s="5" t="s">
        <v>21</v>
      </c>
      <c r="M155" s="4" t="str">
        <f>_xlfn.CONCAT(B155,"_",D155,"_",G155,"_", I155,K155)</f>
        <v>154_MAS2_3_C3</v>
      </c>
    </row>
    <row r="156" spans="1:13" x14ac:dyDescent="0.2">
      <c r="A156" s="4" t="s">
        <v>31</v>
      </c>
      <c r="B156" s="4">
        <v>155</v>
      </c>
      <c r="C156" s="4">
        <v>4</v>
      </c>
      <c r="D156" s="4" t="s">
        <v>18</v>
      </c>
      <c r="E156" s="4" t="s">
        <v>7</v>
      </c>
      <c r="F156" s="4">
        <v>20</v>
      </c>
      <c r="G156" s="4">
        <v>3</v>
      </c>
      <c r="H156" s="4" t="s">
        <v>46</v>
      </c>
      <c r="I156" s="4" t="s">
        <v>27</v>
      </c>
      <c r="J156" s="4" t="s">
        <v>29</v>
      </c>
      <c r="K156" s="4">
        <v>4</v>
      </c>
      <c r="L156" s="5" t="s">
        <v>23</v>
      </c>
      <c r="M156" s="4" t="str">
        <f>_xlfn.CONCAT(B156,"_",D156,"_",G156,"_", I156,K156)</f>
        <v>155_MAS2_3_C4</v>
      </c>
    </row>
    <row r="157" spans="1:13" x14ac:dyDescent="0.2">
      <c r="A157" s="4" t="s">
        <v>31</v>
      </c>
      <c r="B157" s="4">
        <v>156</v>
      </c>
      <c r="C157" s="4">
        <v>4</v>
      </c>
      <c r="D157" s="4" t="s">
        <v>18</v>
      </c>
      <c r="E157" s="4" t="s">
        <v>7</v>
      </c>
      <c r="F157" s="4">
        <v>20</v>
      </c>
      <c r="G157" s="4">
        <v>3</v>
      </c>
      <c r="H157" s="4" t="s">
        <v>46</v>
      </c>
      <c r="I157" s="4" t="s">
        <v>27</v>
      </c>
      <c r="J157" s="4" t="s">
        <v>29</v>
      </c>
      <c r="K157" s="4">
        <v>5</v>
      </c>
      <c r="L157" s="5" t="s">
        <v>25</v>
      </c>
      <c r="M157" s="4" t="str">
        <f>_xlfn.CONCAT(B157,"_",D157,"_",G157,"_", I157,K157)</f>
        <v>156_MAS2_3_C5</v>
      </c>
    </row>
    <row r="158" spans="1:13" x14ac:dyDescent="0.2">
      <c r="A158" s="4" t="s">
        <v>31</v>
      </c>
      <c r="B158" s="4">
        <v>157</v>
      </c>
      <c r="C158" s="4">
        <v>4</v>
      </c>
      <c r="D158" s="4" t="s">
        <v>18</v>
      </c>
      <c r="E158" s="4" t="s">
        <v>7</v>
      </c>
      <c r="F158" s="4">
        <v>20</v>
      </c>
      <c r="G158" s="4">
        <v>4</v>
      </c>
      <c r="H158" s="4" t="s">
        <v>47</v>
      </c>
      <c r="I158" s="4" t="s">
        <v>16</v>
      </c>
      <c r="J158" s="4" t="s">
        <v>12</v>
      </c>
      <c r="K158" s="4">
        <v>1</v>
      </c>
      <c r="L158" s="4" t="s">
        <v>14</v>
      </c>
      <c r="M158" s="4" t="str">
        <f>_xlfn.CONCAT(B158,"_",D158,"_",G158,"_", I158,K158)</f>
        <v>157_MAS2_4_A1</v>
      </c>
    </row>
    <row r="159" spans="1:13" x14ac:dyDescent="0.2">
      <c r="A159" s="4" t="s">
        <v>31</v>
      </c>
      <c r="B159" s="4">
        <v>158</v>
      </c>
      <c r="C159" s="4">
        <v>4</v>
      </c>
      <c r="D159" s="4" t="s">
        <v>18</v>
      </c>
      <c r="E159" s="4" t="s">
        <v>7</v>
      </c>
      <c r="F159" s="4">
        <v>20</v>
      </c>
      <c r="G159" s="4">
        <v>4</v>
      </c>
      <c r="H159" s="4" t="s">
        <v>47</v>
      </c>
      <c r="I159" s="4" t="s">
        <v>16</v>
      </c>
      <c r="J159" s="4" t="s">
        <v>12</v>
      </c>
      <c r="K159" s="4">
        <v>2</v>
      </c>
      <c r="L159" s="5" t="s">
        <v>19</v>
      </c>
      <c r="M159" s="4" t="str">
        <f>_xlfn.CONCAT(B159,"_",D159,"_",G159,"_", I159,K159)</f>
        <v>158_MAS2_4_A2</v>
      </c>
    </row>
    <row r="160" spans="1:13" x14ac:dyDescent="0.2">
      <c r="A160" s="4" t="s">
        <v>31</v>
      </c>
      <c r="B160" s="4">
        <v>159</v>
      </c>
      <c r="C160" s="4">
        <v>4</v>
      </c>
      <c r="D160" s="4" t="s">
        <v>18</v>
      </c>
      <c r="E160" s="4" t="s">
        <v>7</v>
      </c>
      <c r="F160" s="4">
        <v>20</v>
      </c>
      <c r="G160" s="4">
        <v>4</v>
      </c>
      <c r="H160" s="4" t="s">
        <v>47</v>
      </c>
      <c r="I160" s="4" t="s">
        <v>16</v>
      </c>
      <c r="J160" s="4" t="s">
        <v>12</v>
      </c>
      <c r="K160" s="4">
        <v>3</v>
      </c>
      <c r="L160" s="5" t="s">
        <v>21</v>
      </c>
      <c r="M160" s="4" t="str">
        <f>_xlfn.CONCAT(B160,"_",D160,"_",G160,"_", I160,K160)</f>
        <v>159_MAS2_4_A3</v>
      </c>
    </row>
    <row r="161" spans="1:13" x14ac:dyDescent="0.2">
      <c r="A161" s="4" t="s">
        <v>31</v>
      </c>
      <c r="B161" s="4">
        <v>160</v>
      </c>
      <c r="C161" s="4">
        <v>4</v>
      </c>
      <c r="D161" s="4" t="s">
        <v>18</v>
      </c>
      <c r="E161" s="4" t="s">
        <v>7</v>
      </c>
      <c r="F161" s="4">
        <v>20</v>
      </c>
      <c r="G161" s="4">
        <v>4</v>
      </c>
      <c r="H161" s="4" t="s">
        <v>47</v>
      </c>
      <c r="I161" s="4" t="s">
        <v>16</v>
      </c>
      <c r="J161" s="4" t="s">
        <v>12</v>
      </c>
      <c r="K161" s="4">
        <v>4</v>
      </c>
      <c r="L161" s="5" t="s">
        <v>23</v>
      </c>
      <c r="M161" s="4" t="str">
        <f>_xlfn.CONCAT(B161,"_",D161,"_",G161,"_", I161,K161)</f>
        <v>160_MAS2_4_A4</v>
      </c>
    </row>
    <row r="162" spans="1:13" x14ac:dyDescent="0.2">
      <c r="A162" s="4" t="s">
        <v>31</v>
      </c>
      <c r="B162" s="4">
        <v>161</v>
      </c>
      <c r="C162" s="4">
        <v>4</v>
      </c>
      <c r="D162" s="4" t="s">
        <v>18</v>
      </c>
      <c r="E162" s="4" t="s">
        <v>7</v>
      </c>
      <c r="F162" s="4">
        <v>20</v>
      </c>
      <c r="G162" s="4">
        <v>4</v>
      </c>
      <c r="H162" s="4" t="s">
        <v>47</v>
      </c>
      <c r="I162" s="4" t="s">
        <v>16</v>
      </c>
      <c r="J162" s="4" t="s">
        <v>12</v>
      </c>
      <c r="K162" s="4">
        <v>5</v>
      </c>
      <c r="L162" s="5" t="s">
        <v>25</v>
      </c>
      <c r="M162" s="4" t="str">
        <f>_xlfn.CONCAT(B162,"_",D162,"_",G162,"_", I162,K162)</f>
        <v>161_MAS2_4_A5</v>
      </c>
    </row>
    <row r="163" spans="1:13" x14ac:dyDescent="0.2">
      <c r="A163" s="2" t="s">
        <v>31</v>
      </c>
      <c r="B163" s="2">
        <v>162</v>
      </c>
      <c r="C163" s="2">
        <v>4</v>
      </c>
      <c r="D163" s="2" t="s">
        <v>18</v>
      </c>
      <c r="E163" s="2" t="s">
        <v>7</v>
      </c>
      <c r="F163" s="2">
        <v>20</v>
      </c>
      <c r="G163" s="2">
        <v>5</v>
      </c>
      <c r="H163" s="2" t="s">
        <v>48</v>
      </c>
      <c r="I163" s="2" t="s">
        <v>16</v>
      </c>
      <c r="J163" s="2" t="s">
        <v>12</v>
      </c>
      <c r="K163" s="2">
        <v>1</v>
      </c>
      <c r="L163" s="2" t="s">
        <v>14</v>
      </c>
      <c r="M163" s="2" t="str">
        <f>_xlfn.CONCAT(B163,"_",D163,"_",G163,"_", I163,K163)</f>
        <v>162_MAS2_5_A1</v>
      </c>
    </row>
    <row r="164" spans="1:13" x14ac:dyDescent="0.2">
      <c r="A164" s="2" t="s">
        <v>31</v>
      </c>
      <c r="B164" s="2">
        <v>163</v>
      </c>
      <c r="C164" s="2">
        <v>4</v>
      </c>
      <c r="D164" s="2" t="s">
        <v>18</v>
      </c>
      <c r="E164" s="2" t="s">
        <v>7</v>
      </c>
      <c r="F164" s="2">
        <v>20</v>
      </c>
      <c r="G164" s="2">
        <v>5</v>
      </c>
      <c r="H164" s="2" t="s">
        <v>48</v>
      </c>
      <c r="I164" s="2" t="s">
        <v>16</v>
      </c>
      <c r="J164" s="2" t="s">
        <v>12</v>
      </c>
      <c r="K164" s="2">
        <v>2</v>
      </c>
      <c r="L164" s="3" t="s">
        <v>19</v>
      </c>
      <c r="M164" s="2" t="str">
        <f>_xlfn.CONCAT(B164,"_",D164,"_",G164,"_", I164,K164)</f>
        <v>163_MAS2_5_A2</v>
      </c>
    </row>
    <row r="165" spans="1:13" x14ac:dyDescent="0.2">
      <c r="A165" s="2" t="s">
        <v>31</v>
      </c>
      <c r="B165" s="2">
        <v>164</v>
      </c>
      <c r="C165" s="2">
        <v>4</v>
      </c>
      <c r="D165" s="2" t="s">
        <v>18</v>
      </c>
      <c r="E165" s="2" t="s">
        <v>7</v>
      </c>
      <c r="F165" s="2">
        <v>20</v>
      </c>
      <c r="G165" s="2">
        <v>5</v>
      </c>
      <c r="H165" s="2" t="s">
        <v>48</v>
      </c>
      <c r="I165" s="2" t="s">
        <v>16</v>
      </c>
      <c r="J165" s="2" t="s">
        <v>12</v>
      </c>
      <c r="K165" s="2">
        <v>3</v>
      </c>
      <c r="L165" s="3" t="s">
        <v>21</v>
      </c>
      <c r="M165" s="2" t="str">
        <f>_xlfn.CONCAT(B165,"_",D165,"_",G165,"_", I165,K165)</f>
        <v>164_MAS2_5_A3</v>
      </c>
    </row>
    <row r="166" spans="1:13" x14ac:dyDescent="0.2">
      <c r="A166" s="2" t="s">
        <v>31</v>
      </c>
      <c r="B166" s="2">
        <v>165</v>
      </c>
      <c r="C166" s="2">
        <v>4</v>
      </c>
      <c r="D166" s="2" t="s">
        <v>18</v>
      </c>
      <c r="E166" s="2" t="s">
        <v>7</v>
      </c>
      <c r="F166" s="2">
        <v>20</v>
      </c>
      <c r="G166" s="2">
        <v>5</v>
      </c>
      <c r="H166" s="2" t="s">
        <v>48</v>
      </c>
      <c r="I166" s="2" t="s">
        <v>16</v>
      </c>
      <c r="J166" s="2" t="s">
        <v>12</v>
      </c>
      <c r="K166" s="2">
        <v>4</v>
      </c>
      <c r="L166" s="3" t="s">
        <v>23</v>
      </c>
      <c r="M166" s="2" t="str">
        <f>_xlfn.CONCAT(B166,"_",D166,"_",G166,"_", I166,K166)</f>
        <v>165_MAS2_5_A4</v>
      </c>
    </row>
    <row r="167" spans="1:13" x14ac:dyDescent="0.2">
      <c r="A167" s="2" t="s">
        <v>31</v>
      </c>
      <c r="B167" s="2">
        <v>166</v>
      </c>
      <c r="C167" s="2">
        <v>4</v>
      </c>
      <c r="D167" s="2" t="s">
        <v>18</v>
      </c>
      <c r="E167" s="2" t="s">
        <v>7</v>
      </c>
      <c r="F167" s="2">
        <v>20</v>
      </c>
      <c r="G167" s="2">
        <v>5</v>
      </c>
      <c r="H167" s="2" t="s">
        <v>48</v>
      </c>
      <c r="I167" s="2" t="s">
        <v>16</v>
      </c>
      <c r="J167" s="2" t="s">
        <v>12</v>
      </c>
      <c r="K167" s="2">
        <v>5</v>
      </c>
      <c r="L167" s="3" t="s">
        <v>25</v>
      </c>
      <c r="M167" s="2" t="str">
        <f>_xlfn.CONCAT(B167,"_",D167,"_",G167,"_", I167,K167)</f>
        <v>166_MAS2_5_A5</v>
      </c>
    </row>
    <row r="168" spans="1:13" x14ac:dyDescent="0.2">
      <c r="A168" s="4" t="s">
        <v>31</v>
      </c>
      <c r="B168" s="4">
        <v>167</v>
      </c>
      <c r="C168" s="4">
        <v>4</v>
      </c>
      <c r="D168" s="4" t="s">
        <v>18</v>
      </c>
      <c r="E168" s="4" t="s">
        <v>7</v>
      </c>
      <c r="F168" s="4">
        <v>20</v>
      </c>
      <c r="G168" s="4">
        <v>6</v>
      </c>
      <c r="H168" s="4" t="s">
        <v>49</v>
      </c>
      <c r="I168" s="4" t="s">
        <v>16</v>
      </c>
      <c r="J168" s="4" t="s">
        <v>12</v>
      </c>
      <c r="K168" s="4">
        <v>1</v>
      </c>
      <c r="L168" s="4" t="s">
        <v>14</v>
      </c>
      <c r="M168" s="4" t="str">
        <f>_xlfn.CONCAT(B168,"_",D168,"_",G168,"_", I168,K168)</f>
        <v>167_MAS2_6_A1</v>
      </c>
    </row>
    <row r="169" spans="1:13" x14ac:dyDescent="0.2">
      <c r="A169" s="4" t="s">
        <v>31</v>
      </c>
      <c r="B169" s="4">
        <v>168</v>
      </c>
      <c r="C169" s="4">
        <v>4</v>
      </c>
      <c r="D169" s="4" t="s">
        <v>18</v>
      </c>
      <c r="E169" s="4" t="s">
        <v>7</v>
      </c>
      <c r="F169" s="4">
        <v>20</v>
      </c>
      <c r="G169" s="4">
        <v>6</v>
      </c>
      <c r="H169" s="4" t="s">
        <v>49</v>
      </c>
      <c r="I169" s="4" t="s">
        <v>16</v>
      </c>
      <c r="J169" s="4" t="s">
        <v>12</v>
      </c>
      <c r="K169" s="4">
        <v>2</v>
      </c>
      <c r="L169" s="5" t="s">
        <v>19</v>
      </c>
      <c r="M169" s="4" t="str">
        <f>_xlfn.CONCAT(B169,"_",D169,"_",G169,"_", I169,K169)</f>
        <v>168_MAS2_6_A2</v>
      </c>
    </row>
    <row r="170" spans="1:13" x14ac:dyDescent="0.2">
      <c r="A170" s="4" t="s">
        <v>31</v>
      </c>
      <c r="B170" s="4">
        <v>169</v>
      </c>
      <c r="C170" s="4">
        <v>4</v>
      </c>
      <c r="D170" s="4" t="s">
        <v>18</v>
      </c>
      <c r="E170" s="4" t="s">
        <v>7</v>
      </c>
      <c r="F170" s="4">
        <v>20</v>
      </c>
      <c r="G170" s="4">
        <v>6</v>
      </c>
      <c r="H170" s="4" t="s">
        <v>49</v>
      </c>
      <c r="I170" s="4" t="s">
        <v>16</v>
      </c>
      <c r="J170" s="4" t="s">
        <v>12</v>
      </c>
      <c r="K170" s="4">
        <v>3</v>
      </c>
      <c r="L170" s="5" t="s">
        <v>21</v>
      </c>
      <c r="M170" s="4" t="str">
        <f>_xlfn.CONCAT(B170,"_",D170,"_",G170,"_", I170,K170)</f>
        <v>169_MAS2_6_A3</v>
      </c>
    </row>
    <row r="171" spans="1:13" x14ac:dyDescent="0.2">
      <c r="A171" s="4" t="s">
        <v>31</v>
      </c>
      <c r="B171" s="4">
        <v>170</v>
      </c>
      <c r="C171" s="4">
        <v>4</v>
      </c>
      <c r="D171" s="4" t="s">
        <v>18</v>
      </c>
      <c r="E171" s="4" t="s">
        <v>7</v>
      </c>
      <c r="F171" s="4">
        <v>20</v>
      </c>
      <c r="G171" s="4">
        <v>6</v>
      </c>
      <c r="H171" s="4" t="s">
        <v>49</v>
      </c>
      <c r="I171" s="4" t="s">
        <v>16</v>
      </c>
      <c r="J171" s="4" t="s">
        <v>12</v>
      </c>
      <c r="K171" s="4">
        <v>4</v>
      </c>
      <c r="L171" s="5" t="s">
        <v>23</v>
      </c>
      <c r="M171" s="4" t="str">
        <f>_xlfn.CONCAT(B171,"_",D171,"_",G171,"_", I171,K171)</f>
        <v>170_MAS2_6_A4</v>
      </c>
    </row>
    <row r="172" spans="1:13" x14ac:dyDescent="0.2">
      <c r="A172" s="4" t="s">
        <v>31</v>
      </c>
      <c r="B172" s="4">
        <v>171</v>
      </c>
      <c r="C172" s="4">
        <v>4</v>
      </c>
      <c r="D172" s="4" t="s">
        <v>18</v>
      </c>
      <c r="E172" s="4" t="s">
        <v>7</v>
      </c>
      <c r="F172" s="4">
        <v>20</v>
      </c>
      <c r="G172" s="4">
        <v>6</v>
      </c>
      <c r="H172" s="4" t="s">
        <v>49</v>
      </c>
      <c r="I172" s="4" t="s">
        <v>16</v>
      </c>
      <c r="J172" s="4" t="s">
        <v>12</v>
      </c>
      <c r="K172" s="4">
        <v>5</v>
      </c>
      <c r="L172" s="5" t="s">
        <v>25</v>
      </c>
      <c r="M172" s="4" t="str">
        <f>_xlfn.CONCAT(B172,"_",D172,"_",G172,"_", I172,K172)</f>
        <v>171_MAS2_6_A5</v>
      </c>
    </row>
    <row r="173" spans="1:13" x14ac:dyDescent="0.2">
      <c r="A173" s="4" t="s">
        <v>31</v>
      </c>
      <c r="B173" s="4">
        <v>172</v>
      </c>
      <c r="C173" s="4">
        <v>4</v>
      </c>
      <c r="D173" s="4" t="s">
        <v>18</v>
      </c>
      <c r="E173" s="4" t="s">
        <v>7</v>
      </c>
      <c r="F173" s="4">
        <v>20</v>
      </c>
      <c r="G173" s="4">
        <v>6</v>
      </c>
      <c r="H173" s="4" t="s">
        <v>49</v>
      </c>
      <c r="I173" s="4" t="s">
        <v>26</v>
      </c>
      <c r="J173" s="4" t="s">
        <v>29</v>
      </c>
      <c r="K173" s="4">
        <v>1</v>
      </c>
      <c r="L173" s="4" t="s">
        <v>14</v>
      </c>
      <c r="M173" s="4" t="str">
        <f>_xlfn.CONCAT(B173,"_",D173,"_",G173,"_", I173,K173)</f>
        <v>172_MAS2_6_B1</v>
      </c>
    </row>
    <row r="174" spans="1:13" x14ac:dyDescent="0.2">
      <c r="A174" s="4" t="s">
        <v>31</v>
      </c>
      <c r="B174" s="4">
        <v>173</v>
      </c>
      <c r="C174" s="4">
        <v>4</v>
      </c>
      <c r="D174" s="4" t="s">
        <v>18</v>
      </c>
      <c r="E174" s="4" t="s">
        <v>7</v>
      </c>
      <c r="F174" s="4">
        <v>20</v>
      </c>
      <c r="G174" s="4">
        <v>6</v>
      </c>
      <c r="H174" s="4" t="s">
        <v>49</v>
      </c>
      <c r="I174" s="4" t="s">
        <v>26</v>
      </c>
      <c r="J174" s="4" t="s">
        <v>29</v>
      </c>
      <c r="K174" s="4">
        <v>2</v>
      </c>
      <c r="L174" s="5" t="s">
        <v>19</v>
      </c>
      <c r="M174" s="4" t="str">
        <f>_xlfn.CONCAT(B174,"_",D174,"_",G174,"_", I174,K174)</f>
        <v>173_MAS2_6_B2</v>
      </c>
    </row>
    <row r="175" spans="1:13" x14ac:dyDescent="0.2">
      <c r="A175" s="4" t="s">
        <v>31</v>
      </c>
      <c r="B175" s="4">
        <v>174</v>
      </c>
      <c r="C175" s="4">
        <v>4</v>
      </c>
      <c r="D175" s="4" t="s">
        <v>18</v>
      </c>
      <c r="E175" s="4" t="s">
        <v>7</v>
      </c>
      <c r="F175" s="4">
        <v>20</v>
      </c>
      <c r="G175" s="4">
        <v>6</v>
      </c>
      <c r="H175" s="4" t="s">
        <v>49</v>
      </c>
      <c r="I175" s="4" t="s">
        <v>26</v>
      </c>
      <c r="J175" s="4" t="s">
        <v>29</v>
      </c>
      <c r="K175" s="4">
        <v>3</v>
      </c>
      <c r="L175" s="5" t="s">
        <v>21</v>
      </c>
      <c r="M175" s="4" t="str">
        <f>_xlfn.CONCAT(B175,"_",D175,"_",G175,"_", I175,K175)</f>
        <v>174_MAS2_6_B3</v>
      </c>
    </row>
    <row r="176" spans="1:13" x14ac:dyDescent="0.2">
      <c r="A176" s="4" t="s">
        <v>31</v>
      </c>
      <c r="B176" s="4">
        <v>175</v>
      </c>
      <c r="C176" s="4">
        <v>4</v>
      </c>
      <c r="D176" s="4" t="s">
        <v>18</v>
      </c>
      <c r="E176" s="4" t="s">
        <v>7</v>
      </c>
      <c r="F176" s="4">
        <v>20</v>
      </c>
      <c r="G176" s="4">
        <v>6</v>
      </c>
      <c r="H176" s="4" t="s">
        <v>49</v>
      </c>
      <c r="I176" s="4" t="s">
        <v>26</v>
      </c>
      <c r="J176" s="4" t="s">
        <v>29</v>
      </c>
      <c r="K176" s="4">
        <v>4</v>
      </c>
      <c r="L176" s="5" t="s">
        <v>23</v>
      </c>
      <c r="M176" s="4" t="str">
        <f>_xlfn.CONCAT(B176,"_",D176,"_",G176,"_", I176,K176)</f>
        <v>175_MAS2_6_B4</v>
      </c>
    </row>
    <row r="177" spans="1:13" x14ac:dyDescent="0.2">
      <c r="A177" s="4" t="s">
        <v>31</v>
      </c>
      <c r="B177" s="4">
        <v>176</v>
      </c>
      <c r="C177" s="4">
        <v>4</v>
      </c>
      <c r="D177" s="4" t="s">
        <v>18</v>
      </c>
      <c r="E177" s="4" t="s">
        <v>7</v>
      </c>
      <c r="F177" s="4">
        <v>20</v>
      </c>
      <c r="G177" s="4">
        <v>6</v>
      </c>
      <c r="H177" s="4" t="s">
        <v>49</v>
      </c>
      <c r="I177" s="4" t="s">
        <v>26</v>
      </c>
      <c r="J177" s="4" t="s">
        <v>29</v>
      </c>
      <c r="K177" s="4">
        <v>5</v>
      </c>
      <c r="L177" s="5" t="s">
        <v>25</v>
      </c>
      <c r="M177" s="4" t="str">
        <f>_xlfn.CONCAT(B177,"_",D177,"_",G177,"_", I177,K177)</f>
        <v>176_MAS2_6_B5</v>
      </c>
    </row>
    <row r="178" spans="1:13" x14ac:dyDescent="0.2">
      <c r="A178" s="4" t="s">
        <v>31</v>
      </c>
      <c r="B178" s="4">
        <v>177</v>
      </c>
      <c r="C178" s="4">
        <v>4</v>
      </c>
      <c r="D178" s="4" t="s">
        <v>18</v>
      </c>
      <c r="E178" s="4" t="s">
        <v>7</v>
      </c>
      <c r="F178" s="4">
        <v>20</v>
      </c>
      <c r="G178" s="4">
        <v>6</v>
      </c>
      <c r="H178" s="4" t="s">
        <v>49</v>
      </c>
      <c r="I178" s="4" t="s">
        <v>27</v>
      </c>
      <c r="J178" s="4" t="s">
        <v>29</v>
      </c>
      <c r="K178" s="4">
        <v>1</v>
      </c>
      <c r="L178" s="4" t="s">
        <v>14</v>
      </c>
      <c r="M178" s="4" t="str">
        <f>_xlfn.CONCAT(B178,"_",D178,"_",G178,"_", I178,K178)</f>
        <v>177_MAS2_6_C1</v>
      </c>
    </row>
    <row r="179" spans="1:13" x14ac:dyDescent="0.2">
      <c r="A179" s="4" t="s">
        <v>31</v>
      </c>
      <c r="B179" s="4">
        <v>178</v>
      </c>
      <c r="C179" s="4">
        <v>4</v>
      </c>
      <c r="D179" s="4" t="s">
        <v>18</v>
      </c>
      <c r="E179" s="4" t="s">
        <v>7</v>
      </c>
      <c r="F179" s="4">
        <v>20</v>
      </c>
      <c r="G179" s="4">
        <v>6</v>
      </c>
      <c r="H179" s="4" t="s">
        <v>49</v>
      </c>
      <c r="I179" s="4" t="s">
        <v>27</v>
      </c>
      <c r="J179" s="4" t="s">
        <v>29</v>
      </c>
      <c r="K179" s="4">
        <v>2</v>
      </c>
      <c r="L179" s="5" t="s">
        <v>19</v>
      </c>
      <c r="M179" s="4" t="str">
        <f>_xlfn.CONCAT(B179,"_",D179,"_",G179,"_", I179,K179)</f>
        <v>178_MAS2_6_C2</v>
      </c>
    </row>
    <row r="180" spans="1:13" x14ac:dyDescent="0.2">
      <c r="A180" s="4" t="s">
        <v>31</v>
      </c>
      <c r="B180" s="4">
        <v>179</v>
      </c>
      <c r="C180" s="4">
        <v>4</v>
      </c>
      <c r="D180" s="4" t="s">
        <v>18</v>
      </c>
      <c r="E180" s="4" t="s">
        <v>7</v>
      </c>
      <c r="F180" s="4">
        <v>20</v>
      </c>
      <c r="G180" s="4">
        <v>6</v>
      </c>
      <c r="H180" s="4" t="s">
        <v>49</v>
      </c>
      <c r="I180" s="4" t="s">
        <v>27</v>
      </c>
      <c r="J180" s="4" t="s">
        <v>29</v>
      </c>
      <c r="K180" s="4">
        <v>3</v>
      </c>
      <c r="L180" s="5" t="s">
        <v>21</v>
      </c>
      <c r="M180" s="4" t="str">
        <f>_xlfn.CONCAT(B180,"_",D180,"_",G180,"_", I180,K180)</f>
        <v>179_MAS2_6_C3</v>
      </c>
    </row>
    <row r="181" spans="1:13" x14ac:dyDescent="0.2">
      <c r="A181" s="4" t="s">
        <v>31</v>
      </c>
      <c r="B181" s="4">
        <v>180</v>
      </c>
      <c r="C181" s="4">
        <v>4</v>
      </c>
      <c r="D181" s="4" t="s">
        <v>18</v>
      </c>
      <c r="E181" s="4" t="s">
        <v>7</v>
      </c>
      <c r="F181" s="4">
        <v>20</v>
      </c>
      <c r="G181" s="4">
        <v>6</v>
      </c>
      <c r="H181" s="4" t="s">
        <v>49</v>
      </c>
      <c r="I181" s="4" t="s">
        <v>27</v>
      </c>
      <c r="J181" s="4" t="s">
        <v>29</v>
      </c>
      <c r="K181" s="4">
        <v>4</v>
      </c>
      <c r="L181" s="5" t="s">
        <v>23</v>
      </c>
      <c r="M181" s="4" t="str">
        <f>_xlfn.CONCAT(B181,"_",D181,"_",G181,"_", I181,K181)</f>
        <v>180_MAS2_6_C4</v>
      </c>
    </row>
    <row r="182" spans="1:13" x14ac:dyDescent="0.2">
      <c r="A182" s="4" t="s">
        <v>31</v>
      </c>
      <c r="B182" s="4">
        <v>181</v>
      </c>
      <c r="C182" s="4">
        <v>4</v>
      </c>
      <c r="D182" s="4" t="s">
        <v>18</v>
      </c>
      <c r="E182" s="4" t="s">
        <v>7</v>
      </c>
      <c r="F182" s="4">
        <v>20</v>
      </c>
      <c r="G182" s="4">
        <v>6</v>
      </c>
      <c r="H182" s="4" t="s">
        <v>49</v>
      </c>
      <c r="I182" s="4" t="s">
        <v>27</v>
      </c>
      <c r="J182" s="4" t="s">
        <v>29</v>
      </c>
      <c r="K182" s="4">
        <v>5</v>
      </c>
      <c r="L182" s="5" t="s">
        <v>25</v>
      </c>
      <c r="M182" s="4" t="str">
        <f>_xlfn.CONCAT(B182,"_",D182,"_",G182,"_", I182,K182)</f>
        <v>181_MAS2_6_C5</v>
      </c>
    </row>
  </sheetData>
  <autoFilter ref="A1:M1" xr:uid="{77D89E93-E19F-7740-8FD4-72E4CA9785C0}">
    <sortState xmlns:xlrd2="http://schemas.microsoft.com/office/spreadsheetml/2017/richdata2" ref="A2:M182">
      <sortCondition ref="B1:B1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965-2F5D-8F46-99DD-1D02E8A58FB1}">
  <dimension ref="A1:G4"/>
  <sheetViews>
    <sheetView zoomScale="200" workbookViewId="0">
      <selection activeCell="G6" sqref="G6"/>
    </sheetView>
  </sheetViews>
  <sheetFormatPr baseColWidth="10" defaultRowHeight="16" x14ac:dyDescent="0.2"/>
  <cols>
    <col min="2" max="2" width="12.83203125" bestFit="1" customWidth="1"/>
    <col min="5" max="5" width="12" bestFit="1" customWidth="1"/>
    <col min="6" max="6" width="13.5" bestFit="1" customWidth="1"/>
  </cols>
  <sheetData>
    <row r="1" spans="1:7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">
      <c r="A2">
        <v>5</v>
      </c>
      <c r="B2">
        <v>3</v>
      </c>
      <c r="C2">
        <v>3</v>
      </c>
      <c r="D2">
        <v>5</v>
      </c>
      <c r="E2">
        <f>A2*B2*C2*D2</f>
        <v>225</v>
      </c>
      <c r="F2">
        <f>A2*B2*C2</f>
        <v>45</v>
      </c>
      <c r="G2">
        <f>5*B2*C2</f>
        <v>45</v>
      </c>
    </row>
    <row r="3" spans="1:7" x14ac:dyDescent="0.2">
      <c r="A3">
        <v>5</v>
      </c>
      <c r="B3">
        <v>2</v>
      </c>
      <c r="C3">
        <v>1</v>
      </c>
      <c r="D3">
        <v>5</v>
      </c>
      <c r="E3">
        <f>A3*B3*C3*D3</f>
        <v>50</v>
      </c>
      <c r="F3">
        <f>A3*B3*C3</f>
        <v>10</v>
      </c>
      <c r="G3">
        <f>5*B3*C3</f>
        <v>10</v>
      </c>
    </row>
    <row r="4" spans="1:7" x14ac:dyDescent="0.2">
      <c r="E4">
        <f>SUM(E2:E3)</f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Aidee</dc:creator>
  <cp:lastModifiedBy>Guzman, Aidee</cp:lastModifiedBy>
  <dcterms:created xsi:type="dcterms:W3CDTF">2024-06-18T15:57:45Z</dcterms:created>
  <dcterms:modified xsi:type="dcterms:W3CDTF">2024-08-01T17:29:50Z</dcterms:modified>
</cp:coreProperties>
</file>