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aideeg_stanford_edu/Documents/LLNL/2024 - crop diversity and perrenial studies/data/soil moisture/"/>
    </mc:Choice>
  </mc:AlternateContent>
  <xr:revisionPtr revIDLastSave="1088" documentId="8_{091EF169-1FB2-4441-B03D-B7F5C541EFAA}" xr6:coauthVersionLast="47" xr6:coauthVersionMax="47" xr10:uidLastSave="{CC4DFEA1-3806-2446-837F-77DF8A242184}"/>
  <bookViews>
    <workbookView xWindow="0" yWindow="860" windowWidth="34200" windowHeight="20560" xr2:uid="{3366DEA6-9286-0946-9005-7745388638B6}"/>
  </bookViews>
  <sheets>
    <sheet name="Sheet1" sheetId="1" r:id="rId1"/>
    <sheet name="Sheet2" sheetId="2" r:id="rId2"/>
  </sheets>
  <definedNames>
    <definedName name="_xlnm._FilterDatabase" localSheetId="0" hidden="1">Sheet1!$A$10:$L$10</definedName>
    <definedName name="_xlnm.Print_Titles" localSheetId="0">Sheet1!$1:$10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R11" i="1"/>
  <c r="X11" i="1"/>
  <c r="W12" i="1"/>
  <c r="X12" i="1"/>
  <c r="W13" i="1"/>
  <c r="X13" i="1"/>
  <c r="W14" i="1"/>
  <c r="X14" i="1"/>
  <c r="W15" i="1"/>
  <c r="X15" i="1" s="1"/>
  <c r="W16" i="1"/>
  <c r="X16" i="1" s="1"/>
  <c r="T12" i="1"/>
  <c r="T13" i="1"/>
  <c r="T14" i="1"/>
  <c r="T15" i="1"/>
  <c r="T16" i="1"/>
  <c r="T11" i="1"/>
  <c r="W11" i="1" s="1"/>
  <c r="U191" i="1"/>
  <c r="V191" i="1" s="1"/>
  <c r="Z191" i="1" s="1"/>
  <c r="R57" i="1"/>
  <c r="S57" i="1" s="1"/>
  <c r="U57" i="1" s="1"/>
  <c r="V57" i="1" s="1"/>
  <c r="Z57" i="1" s="1"/>
  <c r="R39" i="1"/>
  <c r="S39" i="1" s="1"/>
  <c r="U39" i="1" s="1"/>
  <c r="V39" i="1" s="1"/>
  <c r="Z39" i="1" s="1"/>
  <c r="R12" i="1"/>
  <c r="S12" i="1" s="1"/>
  <c r="U12" i="1" s="1"/>
  <c r="V12" i="1" s="1"/>
  <c r="Z12" i="1" s="1"/>
  <c r="AA12" i="1" s="1"/>
  <c r="R13" i="1"/>
  <c r="S13" i="1" s="1"/>
  <c r="U13" i="1" s="1"/>
  <c r="V13" i="1" s="1"/>
  <c r="Z13" i="1" s="1"/>
  <c r="AA13" i="1" s="1"/>
  <c r="R14" i="1"/>
  <c r="S14" i="1" s="1"/>
  <c r="U14" i="1" s="1"/>
  <c r="V14" i="1" s="1"/>
  <c r="Z14" i="1" s="1"/>
  <c r="AA14" i="1" s="1"/>
  <c r="R15" i="1"/>
  <c r="S15" i="1" s="1"/>
  <c r="U15" i="1" s="1"/>
  <c r="V15" i="1" s="1"/>
  <c r="Z15" i="1" s="1"/>
  <c r="AA15" i="1" s="1"/>
  <c r="R16" i="1"/>
  <c r="S16" i="1" s="1"/>
  <c r="U16" i="1" s="1"/>
  <c r="V16" i="1" s="1"/>
  <c r="Z16" i="1" s="1"/>
  <c r="AA16" i="1" s="1"/>
  <c r="R17" i="1"/>
  <c r="S17" i="1" s="1"/>
  <c r="U17" i="1" s="1"/>
  <c r="V17" i="1" s="1"/>
  <c r="Z17" i="1" s="1"/>
  <c r="AA17" i="1" s="1"/>
  <c r="R18" i="1"/>
  <c r="S18" i="1" s="1"/>
  <c r="U18" i="1" s="1"/>
  <c r="V18" i="1" s="1"/>
  <c r="Z18" i="1" s="1"/>
  <c r="AA18" i="1" s="1"/>
  <c r="R19" i="1"/>
  <c r="S19" i="1" s="1"/>
  <c r="U19" i="1" s="1"/>
  <c r="V19" i="1" s="1"/>
  <c r="Z19" i="1" s="1"/>
  <c r="AA19" i="1" s="1"/>
  <c r="R20" i="1"/>
  <c r="S20" i="1" s="1"/>
  <c r="U20" i="1" s="1"/>
  <c r="V20" i="1" s="1"/>
  <c r="Z20" i="1" s="1"/>
  <c r="AA20" i="1" s="1"/>
  <c r="R21" i="1"/>
  <c r="S21" i="1" s="1"/>
  <c r="U21" i="1" s="1"/>
  <c r="V21" i="1" s="1"/>
  <c r="Z21" i="1" s="1"/>
  <c r="AA21" i="1" s="1"/>
  <c r="R22" i="1"/>
  <c r="S22" i="1" s="1"/>
  <c r="U22" i="1" s="1"/>
  <c r="V22" i="1" s="1"/>
  <c r="Z22" i="1" s="1"/>
  <c r="AA22" i="1" s="1"/>
  <c r="R23" i="1"/>
  <c r="S23" i="1" s="1"/>
  <c r="U23" i="1" s="1"/>
  <c r="V23" i="1" s="1"/>
  <c r="Z23" i="1" s="1"/>
  <c r="AA23" i="1" s="1"/>
  <c r="R24" i="1"/>
  <c r="S24" i="1" s="1"/>
  <c r="U24" i="1" s="1"/>
  <c r="V24" i="1" s="1"/>
  <c r="Z24" i="1" s="1"/>
  <c r="AA24" i="1" s="1"/>
  <c r="R25" i="1"/>
  <c r="S25" i="1" s="1"/>
  <c r="U25" i="1" s="1"/>
  <c r="V25" i="1" s="1"/>
  <c r="Z25" i="1" s="1"/>
  <c r="AA25" i="1" s="1"/>
  <c r="R26" i="1"/>
  <c r="S26" i="1" s="1"/>
  <c r="U26" i="1" s="1"/>
  <c r="V26" i="1" s="1"/>
  <c r="Z26" i="1" s="1"/>
  <c r="AA26" i="1" s="1"/>
  <c r="R27" i="1"/>
  <c r="S27" i="1" s="1"/>
  <c r="U27" i="1" s="1"/>
  <c r="V27" i="1" s="1"/>
  <c r="Z27" i="1" s="1"/>
  <c r="AA27" i="1" s="1"/>
  <c r="R28" i="1"/>
  <c r="S28" i="1" s="1"/>
  <c r="U28" i="1" s="1"/>
  <c r="V28" i="1" s="1"/>
  <c r="Z28" i="1" s="1"/>
  <c r="AA28" i="1" s="1"/>
  <c r="R29" i="1"/>
  <c r="S29" i="1" s="1"/>
  <c r="U29" i="1" s="1"/>
  <c r="V29" i="1" s="1"/>
  <c r="Z29" i="1" s="1"/>
  <c r="AA29" i="1" s="1"/>
  <c r="R30" i="1"/>
  <c r="S30" i="1" s="1"/>
  <c r="U30" i="1" s="1"/>
  <c r="V30" i="1" s="1"/>
  <c r="Z30" i="1" s="1"/>
  <c r="R31" i="1"/>
  <c r="S31" i="1" s="1"/>
  <c r="U31" i="1" s="1"/>
  <c r="V31" i="1" s="1"/>
  <c r="Z31" i="1" s="1"/>
  <c r="R32" i="1"/>
  <c r="S32" i="1" s="1"/>
  <c r="U32" i="1" s="1"/>
  <c r="V32" i="1" s="1"/>
  <c r="Z32" i="1" s="1"/>
  <c r="R33" i="1"/>
  <c r="S33" i="1" s="1"/>
  <c r="U33" i="1" s="1"/>
  <c r="V33" i="1" s="1"/>
  <c r="Z33" i="1" s="1"/>
  <c r="R34" i="1"/>
  <c r="S34" i="1" s="1"/>
  <c r="U34" i="1" s="1"/>
  <c r="V34" i="1" s="1"/>
  <c r="Z34" i="1" s="1"/>
  <c r="R35" i="1"/>
  <c r="S35" i="1" s="1"/>
  <c r="U35" i="1" s="1"/>
  <c r="V35" i="1" s="1"/>
  <c r="Z35" i="1" s="1"/>
  <c r="R36" i="1"/>
  <c r="S36" i="1" s="1"/>
  <c r="U36" i="1" s="1"/>
  <c r="V36" i="1" s="1"/>
  <c r="Z36" i="1" s="1"/>
  <c r="R37" i="1"/>
  <c r="S37" i="1" s="1"/>
  <c r="U37" i="1" s="1"/>
  <c r="V37" i="1" s="1"/>
  <c r="Z37" i="1" s="1"/>
  <c r="R38" i="1"/>
  <c r="S38" i="1" s="1"/>
  <c r="U38" i="1" s="1"/>
  <c r="V38" i="1" s="1"/>
  <c r="Z38" i="1" s="1"/>
  <c r="R40" i="1"/>
  <c r="S40" i="1" s="1"/>
  <c r="U40" i="1" s="1"/>
  <c r="V40" i="1" s="1"/>
  <c r="Z40" i="1" s="1"/>
  <c r="R41" i="1"/>
  <c r="S41" i="1" s="1"/>
  <c r="U41" i="1" s="1"/>
  <c r="V41" i="1" s="1"/>
  <c r="Z41" i="1" s="1"/>
  <c r="R42" i="1"/>
  <c r="S42" i="1" s="1"/>
  <c r="U42" i="1" s="1"/>
  <c r="V42" i="1" s="1"/>
  <c r="Z42" i="1" s="1"/>
  <c r="R43" i="1"/>
  <c r="S43" i="1" s="1"/>
  <c r="U43" i="1" s="1"/>
  <c r="V43" i="1" s="1"/>
  <c r="Z43" i="1" s="1"/>
  <c r="R44" i="1"/>
  <c r="S44" i="1" s="1"/>
  <c r="U44" i="1" s="1"/>
  <c r="V44" i="1" s="1"/>
  <c r="Z44" i="1" s="1"/>
  <c r="R45" i="1"/>
  <c r="S45" i="1" s="1"/>
  <c r="U45" i="1" s="1"/>
  <c r="V45" i="1" s="1"/>
  <c r="Z45" i="1" s="1"/>
  <c r="R46" i="1"/>
  <c r="S46" i="1" s="1"/>
  <c r="U46" i="1" s="1"/>
  <c r="V46" i="1" s="1"/>
  <c r="Z46" i="1" s="1"/>
  <c r="R47" i="1"/>
  <c r="S47" i="1" s="1"/>
  <c r="U47" i="1" s="1"/>
  <c r="V47" i="1" s="1"/>
  <c r="Z47" i="1" s="1"/>
  <c r="R48" i="1"/>
  <c r="S48" i="1" s="1"/>
  <c r="U48" i="1" s="1"/>
  <c r="V48" i="1" s="1"/>
  <c r="Z48" i="1" s="1"/>
  <c r="R49" i="1"/>
  <c r="S49" i="1" s="1"/>
  <c r="U49" i="1" s="1"/>
  <c r="V49" i="1" s="1"/>
  <c r="Z49" i="1" s="1"/>
  <c r="R50" i="1"/>
  <c r="S50" i="1" s="1"/>
  <c r="U50" i="1" s="1"/>
  <c r="V50" i="1" s="1"/>
  <c r="Z50" i="1" s="1"/>
  <c r="R51" i="1"/>
  <c r="S51" i="1" s="1"/>
  <c r="U51" i="1" s="1"/>
  <c r="V51" i="1" s="1"/>
  <c r="Z51" i="1" s="1"/>
  <c r="R52" i="1"/>
  <c r="S52" i="1" s="1"/>
  <c r="U52" i="1" s="1"/>
  <c r="V52" i="1" s="1"/>
  <c r="Z52" i="1" s="1"/>
  <c r="R53" i="1"/>
  <c r="S53" i="1" s="1"/>
  <c r="U53" i="1" s="1"/>
  <c r="V53" i="1" s="1"/>
  <c r="Z53" i="1" s="1"/>
  <c r="R54" i="1"/>
  <c r="S54" i="1" s="1"/>
  <c r="U54" i="1" s="1"/>
  <c r="V54" i="1" s="1"/>
  <c r="Z54" i="1" s="1"/>
  <c r="R55" i="1"/>
  <c r="S55" i="1" s="1"/>
  <c r="U55" i="1" s="1"/>
  <c r="V55" i="1" s="1"/>
  <c r="Z55" i="1" s="1"/>
  <c r="R56" i="1"/>
  <c r="S56" i="1" s="1"/>
  <c r="U56" i="1" s="1"/>
  <c r="V56" i="1" s="1"/>
  <c r="Z56" i="1" s="1"/>
  <c r="R58" i="1"/>
  <c r="S58" i="1" s="1"/>
  <c r="U58" i="1" s="1"/>
  <c r="V58" i="1" s="1"/>
  <c r="Z58" i="1" s="1"/>
  <c r="R59" i="1"/>
  <c r="S59" i="1" s="1"/>
  <c r="U59" i="1" s="1"/>
  <c r="V59" i="1" s="1"/>
  <c r="Z59" i="1" s="1"/>
  <c r="R60" i="1"/>
  <c r="S60" i="1" s="1"/>
  <c r="U60" i="1" s="1"/>
  <c r="V60" i="1" s="1"/>
  <c r="Z60" i="1" s="1"/>
  <c r="R61" i="1"/>
  <c r="S61" i="1" s="1"/>
  <c r="U61" i="1" s="1"/>
  <c r="V61" i="1" s="1"/>
  <c r="Z61" i="1" s="1"/>
  <c r="R62" i="1"/>
  <c r="S62" i="1" s="1"/>
  <c r="U62" i="1" s="1"/>
  <c r="V62" i="1" s="1"/>
  <c r="Z62" i="1" s="1"/>
  <c r="R63" i="1"/>
  <c r="S63" i="1" s="1"/>
  <c r="U63" i="1" s="1"/>
  <c r="V63" i="1" s="1"/>
  <c r="Z63" i="1" s="1"/>
  <c r="R64" i="1"/>
  <c r="S64" i="1" s="1"/>
  <c r="U64" i="1" s="1"/>
  <c r="V64" i="1" s="1"/>
  <c r="Z64" i="1" s="1"/>
  <c r="R65" i="1"/>
  <c r="S65" i="1" s="1"/>
  <c r="U65" i="1" s="1"/>
  <c r="V65" i="1" s="1"/>
  <c r="Z65" i="1" s="1"/>
  <c r="R66" i="1"/>
  <c r="S66" i="1" s="1"/>
  <c r="U66" i="1" s="1"/>
  <c r="V66" i="1" s="1"/>
  <c r="Z66" i="1" s="1"/>
  <c r="R67" i="1"/>
  <c r="S67" i="1" s="1"/>
  <c r="U67" i="1" s="1"/>
  <c r="V67" i="1" s="1"/>
  <c r="Z67" i="1" s="1"/>
  <c r="R68" i="1"/>
  <c r="S68" i="1" s="1"/>
  <c r="U68" i="1" s="1"/>
  <c r="V68" i="1" s="1"/>
  <c r="Z68" i="1" s="1"/>
  <c r="R69" i="1"/>
  <c r="S69" i="1" s="1"/>
  <c r="U69" i="1" s="1"/>
  <c r="V69" i="1" s="1"/>
  <c r="Z69" i="1" s="1"/>
  <c r="R70" i="1"/>
  <c r="S70" i="1" s="1"/>
  <c r="U70" i="1" s="1"/>
  <c r="V70" i="1" s="1"/>
  <c r="Z70" i="1" s="1"/>
  <c r="R71" i="1"/>
  <c r="S71" i="1" s="1"/>
  <c r="U71" i="1" s="1"/>
  <c r="V71" i="1" s="1"/>
  <c r="Z71" i="1" s="1"/>
  <c r="R72" i="1"/>
  <c r="S72" i="1" s="1"/>
  <c r="U72" i="1" s="1"/>
  <c r="V72" i="1" s="1"/>
  <c r="Z72" i="1" s="1"/>
  <c r="R73" i="1"/>
  <c r="S73" i="1" s="1"/>
  <c r="U73" i="1" s="1"/>
  <c r="V73" i="1" s="1"/>
  <c r="Z73" i="1" s="1"/>
  <c r="R74" i="1"/>
  <c r="S74" i="1" s="1"/>
  <c r="U74" i="1" s="1"/>
  <c r="V74" i="1" s="1"/>
  <c r="Z74" i="1" s="1"/>
  <c r="R75" i="1"/>
  <c r="S75" i="1" s="1"/>
  <c r="U75" i="1" s="1"/>
  <c r="V75" i="1" s="1"/>
  <c r="Z75" i="1" s="1"/>
  <c r="R76" i="1"/>
  <c r="S76" i="1" s="1"/>
  <c r="U76" i="1" s="1"/>
  <c r="V76" i="1" s="1"/>
  <c r="Z76" i="1" s="1"/>
  <c r="R77" i="1"/>
  <c r="S77" i="1" s="1"/>
  <c r="U77" i="1" s="1"/>
  <c r="V77" i="1" s="1"/>
  <c r="Z77" i="1" s="1"/>
  <c r="R78" i="1"/>
  <c r="S78" i="1" s="1"/>
  <c r="U78" i="1" s="1"/>
  <c r="V78" i="1" s="1"/>
  <c r="Z78" i="1" s="1"/>
  <c r="R79" i="1"/>
  <c r="S79" i="1" s="1"/>
  <c r="U79" i="1" s="1"/>
  <c r="V79" i="1" s="1"/>
  <c r="Z79" i="1" s="1"/>
  <c r="R80" i="1"/>
  <c r="S80" i="1" s="1"/>
  <c r="U80" i="1" s="1"/>
  <c r="V80" i="1" s="1"/>
  <c r="Z80" i="1" s="1"/>
  <c r="R81" i="1"/>
  <c r="S81" i="1" s="1"/>
  <c r="U81" i="1" s="1"/>
  <c r="V81" i="1" s="1"/>
  <c r="Z81" i="1" s="1"/>
  <c r="R82" i="1"/>
  <c r="S82" i="1" s="1"/>
  <c r="U82" i="1" s="1"/>
  <c r="V82" i="1" s="1"/>
  <c r="Z82" i="1" s="1"/>
  <c r="R83" i="1"/>
  <c r="S83" i="1" s="1"/>
  <c r="U83" i="1" s="1"/>
  <c r="V83" i="1" s="1"/>
  <c r="Z83" i="1" s="1"/>
  <c r="R84" i="1"/>
  <c r="S84" i="1" s="1"/>
  <c r="U84" i="1" s="1"/>
  <c r="V84" i="1" s="1"/>
  <c r="Z84" i="1" s="1"/>
  <c r="R85" i="1"/>
  <c r="S85" i="1" s="1"/>
  <c r="U85" i="1" s="1"/>
  <c r="V85" i="1" s="1"/>
  <c r="Z85" i="1" s="1"/>
  <c r="R86" i="1"/>
  <c r="S86" i="1" s="1"/>
  <c r="U86" i="1" s="1"/>
  <c r="V86" i="1" s="1"/>
  <c r="Z86" i="1" s="1"/>
  <c r="R87" i="1"/>
  <c r="S87" i="1" s="1"/>
  <c r="U87" i="1" s="1"/>
  <c r="V87" i="1" s="1"/>
  <c r="Z87" i="1" s="1"/>
  <c r="R88" i="1"/>
  <c r="S88" i="1" s="1"/>
  <c r="U88" i="1" s="1"/>
  <c r="V88" i="1" s="1"/>
  <c r="Z88" i="1" s="1"/>
  <c r="R89" i="1"/>
  <c r="S89" i="1" s="1"/>
  <c r="U89" i="1" s="1"/>
  <c r="V89" i="1" s="1"/>
  <c r="Z89" i="1" s="1"/>
  <c r="R90" i="1"/>
  <c r="S90" i="1" s="1"/>
  <c r="U90" i="1" s="1"/>
  <c r="V90" i="1" s="1"/>
  <c r="Z90" i="1" s="1"/>
  <c r="R91" i="1"/>
  <c r="S91" i="1" s="1"/>
  <c r="U91" i="1" s="1"/>
  <c r="V91" i="1" s="1"/>
  <c r="Z91" i="1" s="1"/>
  <c r="R92" i="1"/>
  <c r="S92" i="1" s="1"/>
  <c r="U92" i="1" s="1"/>
  <c r="V92" i="1" s="1"/>
  <c r="Z92" i="1" s="1"/>
  <c r="R93" i="1"/>
  <c r="S93" i="1" s="1"/>
  <c r="U93" i="1" s="1"/>
  <c r="V93" i="1" s="1"/>
  <c r="Z93" i="1" s="1"/>
  <c r="R94" i="1"/>
  <c r="S94" i="1" s="1"/>
  <c r="U94" i="1" s="1"/>
  <c r="V94" i="1" s="1"/>
  <c r="Z94" i="1" s="1"/>
  <c r="R95" i="1"/>
  <c r="S95" i="1" s="1"/>
  <c r="U95" i="1" s="1"/>
  <c r="V95" i="1" s="1"/>
  <c r="Z95" i="1" s="1"/>
  <c r="R96" i="1"/>
  <c r="S96" i="1" s="1"/>
  <c r="U96" i="1" s="1"/>
  <c r="V96" i="1" s="1"/>
  <c r="Z96" i="1" s="1"/>
  <c r="R97" i="1"/>
  <c r="S97" i="1" s="1"/>
  <c r="U97" i="1" s="1"/>
  <c r="V97" i="1" s="1"/>
  <c r="Z97" i="1" s="1"/>
  <c r="R98" i="1"/>
  <c r="S98" i="1" s="1"/>
  <c r="U98" i="1" s="1"/>
  <c r="V98" i="1" s="1"/>
  <c r="Z98" i="1" s="1"/>
  <c r="R99" i="1"/>
  <c r="S99" i="1" s="1"/>
  <c r="U99" i="1" s="1"/>
  <c r="V99" i="1" s="1"/>
  <c r="Z99" i="1" s="1"/>
  <c r="R100" i="1"/>
  <c r="S100" i="1" s="1"/>
  <c r="U100" i="1" s="1"/>
  <c r="V100" i="1" s="1"/>
  <c r="Z100" i="1" s="1"/>
  <c r="R101" i="1"/>
  <c r="S101" i="1" s="1"/>
  <c r="U101" i="1" s="1"/>
  <c r="V101" i="1" s="1"/>
  <c r="Z101" i="1" s="1"/>
  <c r="R102" i="1"/>
  <c r="S102" i="1" s="1"/>
  <c r="U102" i="1" s="1"/>
  <c r="V102" i="1" s="1"/>
  <c r="Z102" i="1" s="1"/>
  <c r="R103" i="1"/>
  <c r="S103" i="1" s="1"/>
  <c r="U103" i="1" s="1"/>
  <c r="V103" i="1" s="1"/>
  <c r="Z103" i="1" s="1"/>
  <c r="R104" i="1"/>
  <c r="S104" i="1" s="1"/>
  <c r="U104" i="1" s="1"/>
  <c r="V104" i="1" s="1"/>
  <c r="Z104" i="1" s="1"/>
  <c r="R105" i="1"/>
  <c r="S105" i="1" s="1"/>
  <c r="U105" i="1" s="1"/>
  <c r="V105" i="1" s="1"/>
  <c r="Z105" i="1" s="1"/>
  <c r="R106" i="1"/>
  <c r="S106" i="1" s="1"/>
  <c r="U106" i="1" s="1"/>
  <c r="V106" i="1" s="1"/>
  <c r="Z106" i="1" s="1"/>
  <c r="R107" i="1"/>
  <c r="S107" i="1" s="1"/>
  <c r="U107" i="1" s="1"/>
  <c r="V107" i="1" s="1"/>
  <c r="Z107" i="1" s="1"/>
  <c r="R108" i="1"/>
  <c r="S108" i="1" s="1"/>
  <c r="U108" i="1" s="1"/>
  <c r="V108" i="1" s="1"/>
  <c r="Z108" i="1" s="1"/>
  <c r="R109" i="1"/>
  <c r="S109" i="1" s="1"/>
  <c r="U109" i="1" s="1"/>
  <c r="V109" i="1" s="1"/>
  <c r="Z109" i="1" s="1"/>
  <c r="R110" i="1"/>
  <c r="S110" i="1" s="1"/>
  <c r="U110" i="1" s="1"/>
  <c r="V110" i="1" s="1"/>
  <c r="Z110" i="1" s="1"/>
  <c r="R111" i="1"/>
  <c r="S111" i="1" s="1"/>
  <c r="U111" i="1" s="1"/>
  <c r="V111" i="1" s="1"/>
  <c r="Z111" i="1" s="1"/>
  <c r="R112" i="1"/>
  <c r="S112" i="1" s="1"/>
  <c r="U112" i="1" s="1"/>
  <c r="V112" i="1" s="1"/>
  <c r="Z112" i="1" s="1"/>
  <c r="R113" i="1"/>
  <c r="S113" i="1" s="1"/>
  <c r="U113" i="1" s="1"/>
  <c r="V113" i="1" s="1"/>
  <c r="Z113" i="1" s="1"/>
  <c r="R114" i="1"/>
  <c r="S114" i="1" s="1"/>
  <c r="U114" i="1" s="1"/>
  <c r="V114" i="1" s="1"/>
  <c r="Z114" i="1" s="1"/>
  <c r="R115" i="1"/>
  <c r="S115" i="1" s="1"/>
  <c r="U115" i="1" s="1"/>
  <c r="V115" i="1" s="1"/>
  <c r="Z115" i="1" s="1"/>
  <c r="R116" i="1"/>
  <c r="S116" i="1" s="1"/>
  <c r="U116" i="1" s="1"/>
  <c r="V116" i="1" s="1"/>
  <c r="Z116" i="1" s="1"/>
  <c r="R117" i="1"/>
  <c r="S117" i="1" s="1"/>
  <c r="U117" i="1" s="1"/>
  <c r="V117" i="1" s="1"/>
  <c r="Z117" i="1" s="1"/>
  <c r="R118" i="1"/>
  <c r="S118" i="1" s="1"/>
  <c r="U118" i="1" s="1"/>
  <c r="V118" i="1" s="1"/>
  <c r="Z118" i="1" s="1"/>
  <c r="R119" i="1"/>
  <c r="S119" i="1" s="1"/>
  <c r="U119" i="1" s="1"/>
  <c r="V119" i="1" s="1"/>
  <c r="Z119" i="1" s="1"/>
  <c r="R120" i="1"/>
  <c r="S120" i="1" s="1"/>
  <c r="U120" i="1" s="1"/>
  <c r="V120" i="1" s="1"/>
  <c r="Z120" i="1" s="1"/>
  <c r="R121" i="1"/>
  <c r="S121" i="1" s="1"/>
  <c r="U121" i="1" s="1"/>
  <c r="V121" i="1" s="1"/>
  <c r="Z121" i="1" s="1"/>
  <c r="R122" i="1"/>
  <c r="S122" i="1" s="1"/>
  <c r="U122" i="1" s="1"/>
  <c r="V122" i="1" s="1"/>
  <c r="Z122" i="1" s="1"/>
  <c r="R123" i="1"/>
  <c r="S123" i="1" s="1"/>
  <c r="U123" i="1" s="1"/>
  <c r="V123" i="1" s="1"/>
  <c r="Z123" i="1" s="1"/>
  <c r="R124" i="1"/>
  <c r="S124" i="1" s="1"/>
  <c r="U124" i="1" s="1"/>
  <c r="V124" i="1" s="1"/>
  <c r="Z124" i="1" s="1"/>
  <c r="R125" i="1"/>
  <c r="S125" i="1" s="1"/>
  <c r="U125" i="1" s="1"/>
  <c r="V125" i="1" s="1"/>
  <c r="Z125" i="1" s="1"/>
  <c r="R126" i="1"/>
  <c r="S126" i="1" s="1"/>
  <c r="U126" i="1" s="1"/>
  <c r="V126" i="1" s="1"/>
  <c r="Z126" i="1" s="1"/>
  <c r="R127" i="1"/>
  <c r="S127" i="1" s="1"/>
  <c r="U127" i="1" s="1"/>
  <c r="V127" i="1" s="1"/>
  <c r="Z127" i="1" s="1"/>
  <c r="R128" i="1"/>
  <c r="S128" i="1" s="1"/>
  <c r="U128" i="1" s="1"/>
  <c r="V128" i="1" s="1"/>
  <c r="Z128" i="1" s="1"/>
  <c r="R129" i="1"/>
  <c r="S129" i="1" s="1"/>
  <c r="U129" i="1" s="1"/>
  <c r="V129" i="1" s="1"/>
  <c r="Z129" i="1" s="1"/>
  <c r="R130" i="1"/>
  <c r="S130" i="1" s="1"/>
  <c r="U130" i="1" s="1"/>
  <c r="V130" i="1" s="1"/>
  <c r="Z130" i="1" s="1"/>
  <c r="R131" i="1"/>
  <c r="S131" i="1" s="1"/>
  <c r="U131" i="1" s="1"/>
  <c r="V131" i="1" s="1"/>
  <c r="Z131" i="1" s="1"/>
  <c r="R132" i="1"/>
  <c r="S132" i="1" s="1"/>
  <c r="U132" i="1" s="1"/>
  <c r="V132" i="1" s="1"/>
  <c r="Z132" i="1" s="1"/>
  <c r="R133" i="1"/>
  <c r="S133" i="1" s="1"/>
  <c r="U133" i="1" s="1"/>
  <c r="V133" i="1" s="1"/>
  <c r="Z133" i="1" s="1"/>
  <c r="R134" i="1"/>
  <c r="S134" i="1" s="1"/>
  <c r="U134" i="1" s="1"/>
  <c r="V134" i="1" s="1"/>
  <c r="Z134" i="1" s="1"/>
  <c r="R135" i="1"/>
  <c r="S135" i="1" s="1"/>
  <c r="U135" i="1" s="1"/>
  <c r="V135" i="1" s="1"/>
  <c r="Z135" i="1" s="1"/>
  <c r="R136" i="1"/>
  <c r="S136" i="1" s="1"/>
  <c r="U136" i="1" s="1"/>
  <c r="V136" i="1" s="1"/>
  <c r="Z136" i="1" s="1"/>
  <c r="R137" i="1"/>
  <c r="S137" i="1" s="1"/>
  <c r="U137" i="1" s="1"/>
  <c r="V137" i="1" s="1"/>
  <c r="Z137" i="1" s="1"/>
  <c r="R138" i="1"/>
  <c r="S138" i="1" s="1"/>
  <c r="U138" i="1" s="1"/>
  <c r="V138" i="1" s="1"/>
  <c r="Z138" i="1" s="1"/>
  <c r="R139" i="1"/>
  <c r="S139" i="1" s="1"/>
  <c r="U139" i="1" s="1"/>
  <c r="V139" i="1" s="1"/>
  <c r="Z139" i="1" s="1"/>
  <c r="R140" i="1"/>
  <c r="S140" i="1" s="1"/>
  <c r="U140" i="1" s="1"/>
  <c r="V140" i="1" s="1"/>
  <c r="Z140" i="1" s="1"/>
  <c r="R141" i="1"/>
  <c r="S141" i="1" s="1"/>
  <c r="U141" i="1" s="1"/>
  <c r="V141" i="1" s="1"/>
  <c r="Z141" i="1" s="1"/>
  <c r="R142" i="1"/>
  <c r="S142" i="1" s="1"/>
  <c r="U142" i="1" s="1"/>
  <c r="V142" i="1" s="1"/>
  <c r="Z142" i="1" s="1"/>
  <c r="R143" i="1"/>
  <c r="S143" i="1" s="1"/>
  <c r="U143" i="1" s="1"/>
  <c r="V143" i="1" s="1"/>
  <c r="Z143" i="1" s="1"/>
  <c r="R144" i="1"/>
  <c r="S144" i="1" s="1"/>
  <c r="U144" i="1" s="1"/>
  <c r="V144" i="1" s="1"/>
  <c r="Z144" i="1" s="1"/>
  <c r="R145" i="1"/>
  <c r="S145" i="1" s="1"/>
  <c r="U145" i="1" s="1"/>
  <c r="V145" i="1" s="1"/>
  <c r="Z145" i="1" s="1"/>
  <c r="R146" i="1"/>
  <c r="S146" i="1" s="1"/>
  <c r="U146" i="1" s="1"/>
  <c r="V146" i="1" s="1"/>
  <c r="Z146" i="1" s="1"/>
  <c r="R147" i="1"/>
  <c r="S147" i="1" s="1"/>
  <c r="U147" i="1" s="1"/>
  <c r="V147" i="1" s="1"/>
  <c r="Z147" i="1" s="1"/>
  <c r="R148" i="1"/>
  <c r="S148" i="1" s="1"/>
  <c r="U148" i="1" s="1"/>
  <c r="V148" i="1" s="1"/>
  <c r="Z148" i="1" s="1"/>
  <c r="R149" i="1"/>
  <c r="S149" i="1" s="1"/>
  <c r="U149" i="1" s="1"/>
  <c r="V149" i="1" s="1"/>
  <c r="Z149" i="1" s="1"/>
  <c r="R150" i="1"/>
  <c r="S150" i="1" s="1"/>
  <c r="U150" i="1" s="1"/>
  <c r="V150" i="1" s="1"/>
  <c r="Z150" i="1" s="1"/>
  <c r="R151" i="1"/>
  <c r="S151" i="1" s="1"/>
  <c r="U151" i="1" s="1"/>
  <c r="V151" i="1" s="1"/>
  <c r="Z151" i="1" s="1"/>
  <c r="R152" i="1"/>
  <c r="S152" i="1" s="1"/>
  <c r="U152" i="1" s="1"/>
  <c r="V152" i="1" s="1"/>
  <c r="Z152" i="1" s="1"/>
  <c r="R153" i="1"/>
  <c r="S153" i="1" s="1"/>
  <c r="U153" i="1" s="1"/>
  <c r="V153" i="1" s="1"/>
  <c r="Z153" i="1" s="1"/>
  <c r="R154" i="1"/>
  <c r="S154" i="1" s="1"/>
  <c r="U154" i="1" s="1"/>
  <c r="V154" i="1" s="1"/>
  <c r="Z154" i="1" s="1"/>
  <c r="R155" i="1"/>
  <c r="S155" i="1" s="1"/>
  <c r="U155" i="1" s="1"/>
  <c r="V155" i="1" s="1"/>
  <c r="Z155" i="1" s="1"/>
  <c r="R156" i="1"/>
  <c r="S156" i="1" s="1"/>
  <c r="U156" i="1" s="1"/>
  <c r="V156" i="1" s="1"/>
  <c r="Z156" i="1" s="1"/>
  <c r="R157" i="1"/>
  <c r="S157" i="1" s="1"/>
  <c r="U157" i="1" s="1"/>
  <c r="V157" i="1" s="1"/>
  <c r="Z157" i="1" s="1"/>
  <c r="R158" i="1"/>
  <c r="S158" i="1" s="1"/>
  <c r="U158" i="1" s="1"/>
  <c r="V158" i="1" s="1"/>
  <c r="Z158" i="1" s="1"/>
  <c r="R159" i="1"/>
  <c r="S159" i="1" s="1"/>
  <c r="U159" i="1" s="1"/>
  <c r="V159" i="1" s="1"/>
  <c r="Z159" i="1" s="1"/>
  <c r="R160" i="1"/>
  <c r="S160" i="1" s="1"/>
  <c r="U160" i="1" s="1"/>
  <c r="V160" i="1" s="1"/>
  <c r="Z160" i="1" s="1"/>
  <c r="R161" i="1"/>
  <c r="S161" i="1" s="1"/>
  <c r="U161" i="1" s="1"/>
  <c r="V161" i="1" s="1"/>
  <c r="Z161" i="1" s="1"/>
  <c r="R162" i="1"/>
  <c r="S162" i="1" s="1"/>
  <c r="U162" i="1" s="1"/>
  <c r="V162" i="1" s="1"/>
  <c r="Z162" i="1" s="1"/>
  <c r="R163" i="1"/>
  <c r="S163" i="1" s="1"/>
  <c r="U163" i="1" s="1"/>
  <c r="V163" i="1" s="1"/>
  <c r="Z163" i="1" s="1"/>
  <c r="R164" i="1"/>
  <c r="S164" i="1" s="1"/>
  <c r="U164" i="1" s="1"/>
  <c r="V164" i="1" s="1"/>
  <c r="Z164" i="1" s="1"/>
  <c r="R165" i="1"/>
  <c r="S165" i="1" s="1"/>
  <c r="U165" i="1" s="1"/>
  <c r="V165" i="1" s="1"/>
  <c r="Z165" i="1" s="1"/>
  <c r="R166" i="1"/>
  <c r="S166" i="1" s="1"/>
  <c r="U166" i="1" s="1"/>
  <c r="V166" i="1" s="1"/>
  <c r="Z166" i="1" s="1"/>
  <c r="R167" i="1"/>
  <c r="S167" i="1" s="1"/>
  <c r="U167" i="1" s="1"/>
  <c r="V167" i="1" s="1"/>
  <c r="Z167" i="1" s="1"/>
  <c r="R168" i="1"/>
  <c r="S168" i="1" s="1"/>
  <c r="U168" i="1" s="1"/>
  <c r="V168" i="1" s="1"/>
  <c r="Z168" i="1" s="1"/>
  <c r="R169" i="1"/>
  <c r="S169" i="1" s="1"/>
  <c r="U169" i="1" s="1"/>
  <c r="V169" i="1" s="1"/>
  <c r="Z169" i="1" s="1"/>
  <c r="R170" i="1"/>
  <c r="S170" i="1" s="1"/>
  <c r="U170" i="1" s="1"/>
  <c r="V170" i="1" s="1"/>
  <c r="Z170" i="1" s="1"/>
  <c r="R171" i="1"/>
  <c r="S171" i="1" s="1"/>
  <c r="U171" i="1" s="1"/>
  <c r="V171" i="1" s="1"/>
  <c r="Z171" i="1" s="1"/>
  <c r="R172" i="1"/>
  <c r="S172" i="1" s="1"/>
  <c r="U172" i="1" s="1"/>
  <c r="V172" i="1" s="1"/>
  <c r="Z172" i="1" s="1"/>
  <c r="R173" i="1"/>
  <c r="S173" i="1" s="1"/>
  <c r="U173" i="1" s="1"/>
  <c r="V173" i="1" s="1"/>
  <c r="Z173" i="1" s="1"/>
  <c r="R174" i="1"/>
  <c r="S174" i="1" s="1"/>
  <c r="U174" i="1" s="1"/>
  <c r="V174" i="1" s="1"/>
  <c r="Z174" i="1" s="1"/>
  <c r="R175" i="1"/>
  <c r="S175" i="1" s="1"/>
  <c r="U175" i="1" s="1"/>
  <c r="V175" i="1" s="1"/>
  <c r="Z175" i="1" s="1"/>
  <c r="R176" i="1"/>
  <c r="S176" i="1" s="1"/>
  <c r="U176" i="1" s="1"/>
  <c r="V176" i="1" s="1"/>
  <c r="Z176" i="1" s="1"/>
  <c r="R177" i="1"/>
  <c r="S177" i="1" s="1"/>
  <c r="U177" i="1" s="1"/>
  <c r="V177" i="1" s="1"/>
  <c r="Z177" i="1" s="1"/>
  <c r="R178" i="1"/>
  <c r="S178" i="1" s="1"/>
  <c r="U178" i="1" s="1"/>
  <c r="V178" i="1" s="1"/>
  <c r="Z178" i="1" s="1"/>
  <c r="R179" i="1"/>
  <c r="S179" i="1" s="1"/>
  <c r="U179" i="1" s="1"/>
  <c r="V179" i="1" s="1"/>
  <c r="Z179" i="1" s="1"/>
  <c r="R180" i="1"/>
  <c r="S180" i="1" s="1"/>
  <c r="U180" i="1" s="1"/>
  <c r="V180" i="1" s="1"/>
  <c r="Z180" i="1" s="1"/>
  <c r="R181" i="1"/>
  <c r="S181" i="1" s="1"/>
  <c r="U181" i="1" s="1"/>
  <c r="V181" i="1" s="1"/>
  <c r="Z181" i="1" s="1"/>
  <c r="R182" i="1"/>
  <c r="S182" i="1" s="1"/>
  <c r="U182" i="1" s="1"/>
  <c r="V182" i="1" s="1"/>
  <c r="Z182" i="1" s="1"/>
  <c r="R183" i="1"/>
  <c r="S183" i="1" s="1"/>
  <c r="U183" i="1" s="1"/>
  <c r="V183" i="1" s="1"/>
  <c r="Z183" i="1" s="1"/>
  <c r="R184" i="1"/>
  <c r="S184" i="1" s="1"/>
  <c r="U184" i="1" s="1"/>
  <c r="V184" i="1" s="1"/>
  <c r="Z184" i="1" s="1"/>
  <c r="R185" i="1"/>
  <c r="S185" i="1" s="1"/>
  <c r="U185" i="1" s="1"/>
  <c r="V185" i="1" s="1"/>
  <c r="Z185" i="1" s="1"/>
  <c r="R186" i="1"/>
  <c r="S186" i="1" s="1"/>
  <c r="U186" i="1" s="1"/>
  <c r="V186" i="1" s="1"/>
  <c r="Z186" i="1" s="1"/>
  <c r="R187" i="1"/>
  <c r="S187" i="1" s="1"/>
  <c r="U187" i="1" s="1"/>
  <c r="V187" i="1" s="1"/>
  <c r="Z187" i="1" s="1"/>
  <c r="R188" i="1"/>
  <c r="S188" i="1" s="1"/>
  <c r="U188" i="1" s="1"/>
  <c r="V188" i="1" s="1"/>
  <c r="Z188" i="1" s="1"/>
  <c r="R189" i="1"/>
  <c r="S189" i="1" s="1"/>
  <c r="U189" i="1" s="1"/>
  <c r="V189" i="1" s="1"/>
  <c r="Z189" i="1" s="1"/>
  <c r="R190" i="1"/>
  <c r="S190" i="1" s="1"/>
  <c r="U190" i="1" s="1"/>
  <c r="V190" i="1" s="1"/>
  <c r="Z190" i="1" s="1"/>
  <c r="R191" i="1"/>
  <c r="R193" i="1"/>
  <c r="S193" i="1" s="1"/>
  <c r="U193" i="1" s="1"/>
  <c r="V193" i="1" s="1"/>
  <c r="Z193" i="1" s="1"/>
  <c r="R194" i="1"/>
  <c r="S194" i="1" s="1"/>
  <c r="U194" i="1" s="1"/>
  <c r="V194" i="1" s="1"/>
  <c r="Z194" i="1" s="1"/>
  <c r="R195" i="1"/>
  <c r="S195" i="1" s="1"/>
  <c r="U195" i="1" s="1"/>
  <c r="V195" i="1" s="1"/>
  <c r="Z195" i="1" s="1"/>
  <c r="R196" i="1"/>
  <c r="S196" i="1" s="1"/>
  <c r="U196" i="1" s="1"/>
  <c r="V196" i="1" s="1"/>
  <c r="Z196" i="1" s="1"/>
  <c r="R197" i="1"/>
  <c r="S197" i="1" s="1"/>
  <c r="U197" i="1" s="1"/>
  <c r="V197" i="1" s="1"/>
  <c r="Z197" i="1" s="1"/>
  <c r="R198" i="1"/>
  <c r="S198" i="1" s="1"/>
  <c r="U198" i="1" s="1"/>
  <c r="V198" i="1" s="1"/>
  <c r="Z198" i="1" s="1"/>
  <c r="R199" i="1"/>
  <c r="S199" i="1" s="1"/>
  <c r="U199" i="1" s="1"/>
  <c r="V199" i="1" s="1"/>
  <c r="Z199" i="1" s="1"/>
  <c r="R200" i="1"/>
  <c r="S200" i="1" s="1"/>
  <c r="U200" i="1" s="1"/>
  <c r="V200" i="1" s="1"/>
  <c r="Z200" i="1" s="1"/>
  <c r="R201" i="1"/>
  <c r="S201" i="1" s="1"/>
  <c r="U201" i="1" s="1"/>
  <c r="V201" i="1" s="1"/>
  <c r="Z201" i="1" s="1"/>
  <c r="R202" i="1"/>
  <c r="S202" i="1" s="1"/>
  <c r="U202" i="1" s="1"/>
  <c r="V202" i="1" s="1"/>
  <c r="Z202" i="1" s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G3" i="2"/>
  <c r="F3" i="2"/>
  <c r="L12" i="1"/>
  <c r="L11" i="1"/>
  <c r="G2" i="2"/>
  <c r="F2" i="2"/>
  <c r="E2" i="2"/>
  <c r="U11" i="1" l="1"/>
  <c r="V11" i="1" s="1"/>
  <c r="Z11" i="1"/>
  <c r="AA11" i="1" s="1"/>
  <c r="E3" i="2"/>
  <c r="E4" i="2" s="1"/>
</calcChain>
</file>

<file path=xl/sharedStrings.xml><?xml version="1.0" encoding="utf-8"?>
<sst xmlns="http://schemas.openxmlformats.org/spreadsheetml/2006/main" count="1142" uniqueCount="74">
  <si>
    <t>Soil core processing</t>
  </si>
  <si>
    <t>1. After cutting the sleeve, carefully remove soil increments into the appropriate bag.</t>
  </si>
  <si>
    <t>2. Record the weight (g) of the whole bag with the soil</t>
  </si>
  <si>
    <t xml:space="preserve">3. Soil moisture: </t>
  </si>
  <si>
    <t>- Record the weight of the appropriate tin (g). Tare.</t>
  </si>
  <si>
    <t>- Take a small scoop of soil (~5g) and record the weight.</t>
  </si>
  <si>
    <t>- Carefully place tin with soil in the oven.</t>
  </si>
  <si>
    <t>- After &gt;48hrs, record the weight of the dried tin + soil (g).</t>
  </si>
  <si>
    <t>project_id</t>
  </si>
  <si>
    <t>id</t>
  </si>
  <si>
    <t>site_number</t>
  </si>
  <si>
    <t>site_name</t>
  </si>
  <si>
    <t>management_type</t>
  </si>
  <si>
    <t>years_in_management</t>
  </si>
  <si>
    <t>sampling_point</t>
  </si>
  <si>
    <t>core_id</t>
  </si>
  <si>
    <t>core_type</t>
  </si>
  <si>
    <t>increment_number</t>
  </si>
  <si>
    <t>depth_cm</t>
  </si>
  <si>
    <t>sample_code</t>
  </si>
  <si>
    <t>bag_field_moist_soil_g</t>
  </si>
  <si>
    <t>tin_g</t>
  </si>
  <si>
    <t>field_moist_soil_g</t>
  </si>
  <si>
    <t>dry_tin_soil_g</t>
  </si>
  <si>
    <t>notes</t>
  </si>
  <si>
    <t>Water_Weight</t>
  </si>
  <si>
    <t>Percentage WL</t>
  </si>
  <si>
    <t>Adjusted_water_weight</t>
  </si>
  <si>
    <t>Adjusted_field_dry_soil</t>
  </si>
  <si>
    <t>CD</t>
  </si>
  <si>
    <t>IKON</t>
  </si>
  <si>
    <t>monoculture</t>
  </si>
  <si>
    <t>A</t>
  </si>
  <si>
    <t>14C</t>
  </si>
  <si>
    <t>0-10</t>
  </si>
  <si>
    <t>10-20</t>
  </si>
  <si>
    <t>20-30</t>
  </si>
  <si>
    <t>30-40</t>
  </si>
  <si>
    <t>40-50</t>
  </si>
  <si>
    <t>50-100</t>
  </si>
  <si>
    <t>EX</t>
  </si>
  <si>
    <t>LAHE</t>
  </si>
  <si>
    <t>polyculture</t>
  </si>
  <si>
    <t>OR</t>
  </si>
  <si>
    <t>MAS1</t>
  </si>
  <si>
    <t>peach orchard</t>
  </si>
  <si>
    <t>20-50</t>
  </si>
  <si>
    <t>50-75</t>
  </si>
  <si>
    <t>75-100</t>
  </si>
  <si>
    <t>B</t>
  </si>
  <si>
    <t>TOC, root density</t>
  </si>
  <si>
    <t>C</t>
  </si>
  <si>
    <t>MAS2</t>
  </si>
  <si>
    <t>Ikon3A7</t>
  </si>
  <si>
    <t>Ikon2A7</t>
  </si>
  <si>
    <t>Mas1_1_B6</t>
  </si>
  <si>
    <t>Ikon_ex_A7</t>
  </si>
  <si>
    <t>Mas1_1_C6</t>
  </si>
  <si>
    <t>Mas1_3_A6</t>
  </si>
  <si>
    <t>Mas1_4_A6</t>
  </si>
  <si>
    <t>Mas1_5_C6</t>
  </si>
  <si>
    <t>Mas2_3_A6</t>
  </si>
  <si>
    <t>Mas1_3_C6</t>
  </si>
  <si>
    <t>sites</t>
  </si>
  <si>
    <t>sampling point</t>
  </si>
  <si>
    <t>cores</t>
  </si>
  <si>
    <t>increments</t>
  </si>
  <si>
    <t>total samples</t>
  </si>
  <si>
    <t>sleeves needed</t>
  </si>
  <si>
    <t>sleeves for fresno</t>
  </si>
  <si>
    <t>dry soil_KF</t>
  </si>
  <si>
    <t>g water per bag_KF</t>
  </si>
  <si>
    <t>fraction_water_KF</t>
  </si>
  <si>
    <t>soil_minus_bag_KF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</si>
</sst>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3" borderId="1" xfId="0" quotePrefix="1" applyFill="1" applyBorder="1"/>
    <xf numFmtId="0" fontId="4" fillId="0" borderId="0" xfId="0" applyFont="1"/>
    <xf numFmtId="0" fontId="5" fillId="0" borderId="0" xfId="0" applyFont="1"/>
    <xf numFmtId="0" fontId="4" fillId="0" borderId="0" xfId="0" quotePrefix="1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2" fontId="4" fillId="0" borderId="0" xfId="0" applyNumberFormat="1" applyFont="1"/>
    <xf numFmtId="2" fontId="1" fillId="0" borderId="0" xfId="0" applyNumberFormat="1" applyFont="1" applyAlignment="1">
      <alignment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9E93-E19F-7740-8FD4-72E4CA9785C0}">
  <dimension ref="A1:AA202"/>
  <sheetViews>
    <sheetView tabSelected="1" showWhiteSpace="0" topLeftCell="G39" zoomScale="108" zoomScaleNormal="150" zoomScalePageLayoutView="140" workbookViewId="0">
      <selection activeCell="L61" sqref="L61"/>
    </sheetView>
  </sheetViews>
  <sheetFormatPr baseColWidth="10" defaultColWidth="11" defaultRowHeight="15.75" customHeight="1" x14ac:dyDescent="0.2"/>
  <cols>
    <col min="1" max="1" width="11.83203125" hidden="1" customWidth="1"/>
    <col min="2" max="2" width="58" bestFit="1" customWidth="1"/>
    <col min="3" max="3" width="14" customWidth="1"/>
    <col min="4" max="4" width="12.33203125" customWidth="1"/>
    <col min="5" max="5" width="19.1640625" customWidth="1"/>
    <col min="6" max="6" width="22.5" customWidth="1"/>
    <col min="7" max="7" width="16.33203125" customWidth="1"/>
    <col min="8" max="8" width="9.6640625" customWidth="1"/>
    <col min="9" max="9" width="15" customWidth="1"/>
    <col min="10" max="10" width="19.5" customWidth="1"/>
    <col min="11" max="11" width="11.83203125" customWidth="1"/>
    <col min="12" max="12" width="14.6640625" customWidth="1"/>
    <col min="13" max="13" width="15.33203125" customWidth="1"/>
    <col min="14" max="14" width="11" customWidth="1"/>
    <col min="15" max="15" width="16.33203125" customWidth="1"/>
    <col min="16" max="16" width="12.33203125" customWidth="1"/>
    <col min="17" max="17" width="27.5" customWidth="1"/>
    <col min="18" max="20" width="13" style="14" customWidth="1"/>
    <col min="21" max="21" width="20.83203125" style="14" customWidth="1"/>
    <col min="22" max="22" width="13" style="14" customWidth="1"/>
    <col min="23" max="23" width="17.6640625" style="14" customWidth="1"/>
    <col min="24" max="25" width="13" style="14" customWidth="1"/>
    <col min="26" max="26" width="11" style="14"/>
  </cols>
  <sheetData>
    <row r="1" spans="1:27" s="4" customFormat="1" ht="14" x14ac:dyDescent="0.2">
      <c r="B1" s="5" t="s">
        <v>0</v>
      </c>
      <c r="R1" s="12"/>
      <c r="S1" s="12"/>
      <c r="T1" s="12"/>
      <c r="U1" s="12"/>
      <c r="V1" s="12"/>
      <c r="W1" s="12"/>
      <c r="X1" s="12"/>
      <c r="Y1" s="12"/>
      <c r="Z1" s="12"/>
    </row>
    <row r="2" spans="1:27" s="4" customFormat="1" ht="14" x14ac:dyDescent="0.2">
      <c r="B2" s="4" t="s">
        <v>1</v>
      </c>
      <c r="R2" s="12"/>
      <c r="S2" s="12"/>
      <c r="T2" s="12"/>
      <c r="U2" s="12"/>
      <c r="V2" s="12"/>
      <c r="W2" s="12"/>
      <c r="X2" s="12"/>
      <c r="Y2" s="12"/>
      <c r="Z2" s="12"/>
    </row>
    <row r="3" spans="1:27" s="4" customFormat="1" ht="14" x14ac:dyDescent="0.2">
      <c r="B3" s="4" t="s">
        <v>2</v>
      </c>
      <c r="R3" s="12"/>
      <c r="S3" s="12"/>
      <c r="T3" s="12"/>
      <c r="U3" s="12"/>
      <c r="V3" s="12"/>
      <c r="W3" s="12"/>
      <c r="X3" s="12"/>
      <c r="Y3" s="12"/>
      <c r="Z3" s="12"/>
    </row>
    <row r="4" spans="1:27" s="4" customFormat="1" ht="14" x14ac:dyDescent="0.2">
      <c r="B4" s="4" t="s">
        <v>3</v>
      </c>
      <c r="R4" s="12"/>
      <c r="S4" s="12"/>
      <c r="T4" s="12"/>
      <c r="U4" s="12"/>
      <c r="V4" s="12"/>
      <c r="W4" s="12"/>
      <c r="X4" s="12"/>
      <c r="Y4" s="12"/>
      <c r="Z4" s="12"/>
    </row>
    <row r="5" spans="1:27" s="4" customFormat="1" ht="14" x14ac:dyDescent="0.2">
      <c r="M5" s="6" t="s">
        <v>4</v>
      </c>
      <c r="R5" s="12"/>
      <c r="S5" s="12"/>
      <c r="T5" s="12"/>
      <c r="U5" s="12"/>
      <c r="V5" s="12"/>
      <c r="W5" s="12"/>
      <c r="X5" s="12"/>
      <c r="Y5" s="12"/>
      <c r="Z5" s="12"/>
    </row>
    <row r="6" spans="1:27" s="4" customFormat="1" ht="14" x14ac:dyDescent="0.2">
      <c r="M6" s="6" t="s">
        <v>5</v>
      </c>
      <c r="R6" s="12"/>
      <c r="S6" s="12"/>
      <c r="T6" s="12"/>
      <c r="U6" s="12"/>
      <c r="V6" s="12"/>
      <c r="W6" s="12"/>
      <c r="X6" s="12"/>
      <c r="Y6" s="12"/>
      <c r="Z6" s="12"/>
    </row>
    <row r="7" spans="1:27" s="4" customFormat="1" ht="14" x14ac:dyDescent="0.2">
      <c r="M7" s="6" t="s">
        <v>6</v>
      </c>
      <c r="R7" s="12"/>
      <c r="S7" s="12"/>
      <c r="T7" s="12"/>
      <c r="U7" s="12"/>
      <c r="V7" s="12"/>
      <c r="W7" s="12"/>
      <c r="X7" s="12"/>
      <c r="Y7" s="12"/>
      <c r="Z7" s="12"/>
    </row>
    <row r="8" spans="1:27" s="4" customFormat="1" ht="14" x14ac:dyDescent="0.2">
      <c r="M8" s="6" t="s">
        <v>7</v>
      </c>
      <c r="R8" s="12"/>
      <c r="S8" s="12"/>
      <c r="T8" s="12"/>
      <c r="U8" s="12"/>
      <c r="V8" s="12"/>
      <c r="W8" s="12"/>
      <c r="X8" s="12"/>
      <c r="Y8" s="12"/>
      <c r="Z8" s="12"/>
    </row>
    <row r="9" spans="1:27" s="4" customFormat="1" ht="14" x14ac:dyDescent="0.2">
      <c r="M9" s="6"/>
      <c r="R9" s="12"/>
      <c r="S9" s="12"/>
      <c r="T9" s="12"/>
      <c r="U9" s="12"/>
      <c r="V9" s="12"/>
      <c r="W9" s="12"/>
      <c r="X9" s="12"/>
      <c r="Y9" s="12"/>
      <c r="Z9" s="12"/>
    </row>
    <row r="10" spans="1:27" s="7" customFormat="1" ht="34" x14ac:dyDescent="0.2">
      <c r="A10" s="7" t="s">
        <v>8</v>
      </c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  <c r="H10" s="8" t="s">
        <v>15</v>
      </c>
      <c r="I10" s="8" t="s">
        <v>16</v>
      </c>
      <c r="J10" s="8" t="s">
        <v>17</v>
      </c>
      <c r="K10" s="8" t="s">
        <v>18</v>
      </c>
      <c r="L10" s="8" t="s">
        <v>19</v>
      </c>
      <c r="M10" s="8" t="s">
        <v>20</v>
      </c>
      <c r="N10" s="8" t="s">
        <v>21</v>
      </c>
      <c r="O10" s="8" t="s">
        <v>22</v>
      </c>
      <c r="P10" s="8" t="s">
        <v>23</v>
      </c>
      <c r="Q10" s="8" t="s">
        <v>24</v>
      </c>
      <c r="R10" s="13" t="s">
        <v>25</v>
      </c>
      <c r="S10" s="13" t="s">
        <v>26</v>
      </c>
      <c r="T10" s="13" t="s">
        <v>72</v>
      </c>
      <c r="U10" s="13" t="s">
        <v>27</v>
      </c>
      <c r="V10" s="13" t="s">
        <v>28</v>
      </c>
      <c r="W10" s="13" t="s">
        <v>71</v>
      </c>
      <c r="X10" s="13" t="s">
        <v>70</v>
      </c>
      <c r="Y10" s="13" t="s">
        <v>73</v>
      </c>
      <c r="Z10" s="13"/>
    </row>
    <row r="11" spans="1:27" ht="16" x14ac:dyDescent="0.2">
      <c r="A11" t="s">
        <v>29</v>
      </c>
      <c r="B11" s="1">
        <v>1</v>
      </c>
      <c r="C11" s="1">
        <v>1</v>
      </c>
      <c r="D11" s="1" t="s">
        <v>30</v>
      </c>
      <c r="E11" s="1" t="s">
        <v>31</v>
      </c>
      <c r="F11" s="1">
        <v>40</v>
      </c>
      <c r="G11" s="1">
        <v>1</v>
      </c>
      <c r="H11" s="1" t="s">
        <v>32</v>
      </c>
      <c r="I11" s="1" t="s">
        <v>33</v>
      </c>
      <c r="J11" s="1">
        <v>1</v>
      </c>
      <c r="K11" s="1" t="s">
        <v>34</v>
      </c>
      <c r="L11" s="1" t="str">
        <f t="shared" ref="L11:L42" si="0">_xlfn.CONCAT(B11,"_",D11,"_",G11,"_", H11,J11)</f>
        <v>1_IKON_1_A1</v>
      </c>
      <c r="M11" s="1">
        <v>123.19</v>
      </c>
      <c r="N11" s="1">
        <v>1.2633000000000001</v>
      </c>
      <c r="O11" s="1">
        <v>2.1046999999999998</v>
      </c>
      <c r="P11" s="1">
        <v>3.1231</v>
      </c>
      <c r="Q11" s="1"/>
      <c r="R11" s="14">
        <f>(N11+O11)-P11</f>
        <v>0.2448999999999999</v>
      </c>
      <c r="S11" s="14">
        <f>(R11/O11)*100</f>
        <v>11.635862593243688</v>
      </c>
      <c r="T11" s="15">
        <f>R11/O11</f>
        <v>0.11635862593243688</v>
      </c>
      <c r="U11" s="14">
        <f>M11/S11</f>
        <v>10.587096488362601</v>
      </c>
      <c r="V11" s="14">
        <f>M11-U11</f>
        <v>112.60290351163739</v>
      </c>
      <c r="W11" s="14">
        <f>T11*M11</f>
        <v>14.334219128616899</v>
      </c>
      <c r="X11" s="14">
        <f>M11-W11</f>
        <v>108.8557808713831</v>
      </c>
      <c r="Z11" s="14">
        <f>(V11/M11)*100</f>
        <v>91.405879951000401</v>
      </c>
      <c r="AA11">
        <f>Z11+S11</f>
        <v>103.04174254424409</v>
      </c>
    </row>
    <row r="12" spans="1:27" ht="16" x14ac:dyDescent="0.2">
      <c r="A12" t="s">
        <v>29</v>
      </c>
      <c r="B12" s="2">
        <v>2</v>
      </c>
      <c r="C12" s="2">
        <v>1</v>
      </c>
      <c r="D12" s="2" t="s">
        <v>30</v>
      </c>
      <c r="E12" s="2" t="s">
        <v>31</v>
      </c>
      <c r="F12" s="2">
        <v>40</v>
      </c>
      <c r="G12" s="2">
        <v>1</v>
      </c>
      <c r="H12" s="2" t="s">
        <v>32</v>
      </c>
      <c r="I12" s="2" t="s">
        <v>33</v>
      </c>
      <c r="J12" s="2">
        <v>2</v>
      </c>
      <c r="K12" s="3" t="s">
        <v>35</v>
      </c>
      <c r="L12" s="2" t="str">
        <f t="shared" si="0"/>
        <v>2_IKON_1_A2</v>
      </c>
      <c r="M12" s="2">
        <v>118.25</v>
      </c>
      <c r="N12" s="2">
        <v>1.2592000000000001</v>
      </c>
      <c r="O12" s="2">
        <v>2.2084999999999999</v>
      </c>
      <c r="P12" s="2">
        <v>3.2265000000000001</v>
      </c>
      <c r="Q12" s="2"/>
      <c r="R12" s="14">
        <f t="shared" ref="R12:R75" si="1">(N12+O12)-P12</f>
        <v>0.24119999999999964</v>
      </c>
      <c r="S12" s="14">
        <f t="shared" ref="S12:S75" si="2">(R12/O12)*100</f>
        <v>10.921439891328941</v>
      </c>
      <c r="T12" s="15">
        <f t="shared" ref="T12:T16" si="3">R12/O12</f>
        <v>0.10921439891328941</v>
      </c>
      <c r="U12" s="14">
        <f t="shared" ref="U12:U75" si="4">M12/S12</f>
        <v>10.827326907131027</v>
      </c>
      <c r="V12" s="14">
        <f t="shared" ref="V12:V28" si="5">M12-U12</f>
        <v>107.42267309286898</v>
      </c>
      <c r="W12" s="14">
        <f t="shared" ref="W12:W16" si="6">T12*M12</f>
        <v>12.914602671496473</v>
      </c>
      <c r="X12" s="14">
        <f t="shared" ref="X12:X16" si="7">M12-W12</f>
        <v>105.33539732850353</v>
      </c>
      <c r="Z12" s="14">
        <f t="shared" ref="Z12:Z75" si="8">(V12/M12)*100</f>
        <v>90.843698175787708</v>
      </c>
      <c r="AA12">
        <f t="shared" ref="AA12:AA29" si="9">Z12+S12</f>
        <v>101.76513806711665</v>
      </c>
    </row>
    <row r="13" spans="1:27" ht="16" x14ac:dyDescent="0.2">
      <c r="A13" t="s">
        <v>29</v>
      </c>
      <c r="B13" s="1">
        <v>3</v>
      </c>
      <c r="C13" s="1">
        <v>1</v>
      </c>
      <c r="D13" s="1" t="s">
        <v>30</v>
      </c>
      <c r="E13" s="1" t="s">
        <v>31</v>
      </c>
      <c r="F13" s="1">
        <v>40</v>
      </c>
      <c r="G13" s="1">
        <v>1</v>
      </c>
      <c r="H13" s="1" t="s">
        <v>32</v>
      </c>
      <c r="I13" s="1" t="s">
        <v>33</v>
      </c>
      <c r="J13" s="1">
        <v>3</v>
      </c>
      <c r="K13" s="1" t="s">
        <v>36</v>
      </c>
      <c r="L13" s="1" t="str">
        <f t="shared" si="0"/>
        <v>3_IKON_1_A3</v>
      </c>
      <c r="M13" s="1">
        <v>127.14</v>
      </c>
      <c r="N13" s="1">
        <v>1.2535000000000001</v>
      </c>
      <c r="O13" s="1">
        <v>2.0507</v>
      </c>
      <c r="P13" s="1">
        <v>3.0912999999999999</v>
      </c>
      <c r="Q13" s="1"/>
      <c r="R13" s="14">
        <f t="shared" si="1"/>
        <v>0.21289999999999987</v>
      </c>
      <c r="S13" s="14">
        <f t="shared" si="2"/>
        <v>10.381820841663817</v>
      </c>
      <c r="T13" s="15">
        <f t="shared" si="3"/>
        <v>0.10381820841663816</v>
      </c>
      <c r="U13" s="14">
        <f t="shared" si="4"/>
        <v>12.246406669798032</v>
      </c>
      <c r="V13" s="14">
        <f t="shared" si="5"/>
        <v>114.89359333020197</v>
      </c>
      <c r="W13" s="14">
        <f t="shared" si="6"/>
        <v>13.199447018091377</v>
      </c>
      <c r="X13" s="14">
        <f t="shared" si="7"/>
        <v>113.94055298190862</v>
      </c>
      <c r="Z13" s="14">
        <f t="shared" si="8"/>
        <v>90.367778299671201</v>
      </c>
      <c r="AA13">
        <f t="shared" si="9"/>
        <v>100.74959914133501</v>
      </c>
    </row>
    <row r="14" spans="1:27" ht="16" x14ac:dyDescent="0.2">
      <c r="A14" t="s">
        <v>29</v>
      </c>
      <c r="B14" s="2">
        <v>4</v>
      </c>
      <c r="C14" s="2">
        <v>1</v>
      </c>
      <c r="D14" s="2" t="s">
        <v>30</v>
      </c>
      <c r="E14" s="2" t="s">
        <v>31</v>
      </c>
      <c r="F14" s="2">
        <v>40</v>
      </c>
      <c r="G14" s="2">
        <v>1</v>
      </c>
      <c r="H14" s="2" t="s">
        <v>32</v>
      </c>
      <c r="I14" s="2" t="s">
        <v>33</v>
      </c>
      <c r="J14" s="2">
        <v>4</v>
      </c>
      <c r="K14" s="3" t="s">
        <v>37</v>
      </c>
      <c r="L14" s="2" t="str">
        <f t="shared" si="0"/>
        <v>4_IKON_1_A4</v>
      </c>
      <c r="M14" s="2">
        <v>106.96</v>
      </c>
      <c r="N14" s="2">
        <v>1.2634000000000001</v>
      </c>
      <c r="O14" s="2">
        <v>2.1680999999999999</v>
      </c>
      <c r="P14" s="2">
        <v>3.1848000000000001</v>
      </c>
      <c r="Q14" s="2"/>
      <c r="R14" s="14">
        <f t="shared" si="1"/>
        <v>0.2466999999999997</v>
      </c>
      <c r="S14" s="14">
        <f t="shared" si="2"/>
        <v>11.378626447119585</v>
      </c>
      <c r="T14" s="15">
        <f t="shared" si="3"/>
        <v>0.11378626447119584</v>
      </c>
      <c r="U14" s="14">
        <f t="shared" si="4"/>
        <v>9.4000800972841603</v>
      </c>
      <c r="V14" s="14">
        <f t="shared" si="5"/>
        <v>97.559919902715833</v>
      </c>
      <c r="W14" s="14">
        <f t="shared" si="6"/>
        <v>12.170578847839106</v>
      </c>
      <c r="X14" s="14">
        <f t="shared" si="7"/>
        <v>94.789421152160884</v>
      </c>
      <c r="Z14" s="14">
        <f t="shared" si="8"/>
        <v>91.211593027969187</v>
      </c>
      <c r="AA14">
        <f t="shared" si="9"/>
        <v>102.59021947508877</v>
      </c>
    </row>
    <row r="15" spans="1:27" ht="16" x14ac:dyDescent="0.2">
      <c r="A15" t="s">
        <v>29</v>
      </c>
      <c r="B15" s="1">
        <v>5</v>
      </c>
      <c r="C15" s="1">
        <v>1</v>
      </c>
      <c r="D15" s="1" t="s">
        <v>30</v>
      </c>
      <c r="E15" s="1" t="s">
        <v>31</v>
      </c>
      <c r="F15" s="1">
        <v>40</v>
      </c>
      <c r="G15" s="1">
        <v>1</v>
      </c>
      <c r="H15" s="1" t="s">
        <v>32</v>
      </c>
      <c r="I15" s="1" t="s">
        <v>33</v>
      </c>
      <c r="J15" s="1">
        <v>5</v>
      </c>
      <c r="K15" s="1" t="s">
        <v>38</v>
      </c>
      <c r="L15" s="1" t="str">
        <f t="shared" si="0"/>
        <v>5_IKON_1_A5</v>
      </c>
      <c r="M15" s="1">
        <v>121.86</v>
      </c>
      <c r="N15" s="1">
        <v>1.2619</v>
      </c>
      <c r="O15" s="1">
        <v>2.0792000000000002</v>
      </c>
      <c r="P15" s="1">
        <v>3.1697000000000002</v>
      </c>
      <c r="Q15" s="1"/>
      <c r="R15" s="14">
        <f t="shared" si="1"/>
        <v>0.17139999999999977</v>
      </c>
      <c r="S15" s="14">
        <f t="shared" si="2"/>
        <v>8.2435552135436581</v>
      </c>
      <c r="T15" s="15">
        <f t="shared" si="3"/>
        <v>8.2435552135436588E-2</v>
      </c>
      <c r="U15" s="14">
        <f t="shared" si="4"/>
        <v>14.782456942823826</v>
      </c>
      <c r="V15" s="14">
        <f t="shared" si="5"/>
        <v>107.07754305717617</v>
      </c>
      <c r="W15" s="14">
        <f t="shared" si="6"/>
        <v>10.045596383224302</v>
      </c>
      <c r="X15" s="14">
        <f t="shared" si="7"/>
        <v>111.81440361677569</v>
      </c>
      <c r="Z15" s="14">
        <f t="shared" si="8"/>
        <v>87.869311551925307</v>
      </c>
      <c r="AA15">
        <f t="shared" si="9"/>
        <v>96.112866765468965</v>
      </c>
    </row>
    <row r="16" spans="1:27" ht="16" x14ac:dyDescent="0.2">
      <c r="A16" t="s">
        <v>29</v>
      </c>
      <c r="B16" s="2">
        <v>6</v>
      </c>
      <c r="C16" s="2">
        <v>1</v>
      </c>
      <c r="D16" s="2" t="s">
        <v>30</v>
      </c>
      <c r="E16" s="2" t="s">
        <v>31</v>
      </c>
      <c r="F16" s="2">
        <v>40</v>
      </c>
      <c r="G16" s="2">
        <v>1</v>
      </c>
      <c r="H16" s="2" t="s">
        <v>32</v>
      </c>
      <c r="I16" s="2" t="s">
        <v>33</v>
      </c>
      <c r="J16" s="2">
        <v>6</v>
      </c>
      <c r="K16" s="3" t="s">
        <v>39</v>
      </c>
      <c r="L16" s="2" t="str">
        <f t="shared" si="0"/>
        <v>6_IKON_1_A6</v>
      </c>
      <c r="M16" s="2">
        <v>681.79</v>
      </c>
      <c r="N16" s="2">
        <v>1.26</v>
      </c>
      <c r="O16" s="2">
        <v>2.1459000000000001</v>
      </c>
      <c r="P16" s="2">
        <v>3.2071999999999998</v>
      </c>
      <c r="Q16" s="2"/>
      <c r="R16" s="14">
        <f t="shared" si="1"/>
        <v>0.1987000000000001</v>
      </c>
      <c r="S16" s="14">
        <f t="shared" si="2"/>
        <v>9.2595181508924043</v>
      </c>
      <c r="T16" s="15">
        <f t="shared" si="3"/>
        <v>9.259518150892404E-2</v>
      </c>
      <c r="U16" s="14">
        <f t="shared" si="4"/>
        <v>73.631261248112693</v>
      </c>
      <c r="V16" s="14">
        <f t="shared" si="5"/>
        <v>608.15873875188731</v>
      </c>
      <c r="W16" s="14">
        <f t="shared" si="6"/>
        <v>63.130468800969318</v>
      </c>
      <c r="X16" s="14">
        <f t="shared" si="7"/>
        <v>618.65953119903065</v>
      </c>
      <c r="Z16" s="14">
        <f t="shared" si="8"/>
        <v>89.200301962757933</v>
      </c>
      <c r="AA16">
        <f t="shared" si="9"/>
        <v>98.459820113650338</v>
      </c>
    </row>
    <row r="17" spans="1:27" ht="16" x14ac:dyDescent="0.2">
      <c r="A17" t="s">
        <v>29</v>
      </c>
      <c r="B17" s="1">
        <v>7</v>
      </c>
      <c r="C17" s="1">
        <v>1</v>
      </c>
      <c r="D17" s="1" t="s">
        <v>30</v>
      </c>
      <c r="E17" s="1" t="s">
        <v>31</v>
      </c>
      <c r="F17" s="1">
        <v>40</v>
      </c>
      <c r="G17" s="1">
        <v>2</v>
      </c>
      <c r="H17" s="1" t="s">
        <v>32</v>
      </c>
      <c r="I17" s="1" t="s">
        <v>33</v>
      </c>
      <c r="J17" s="1">
        <v>1</v>
      </c>
      <c r="K17" s="1" t="s">
        <v>34</v>
      </c>
      <c r="L17" s="1" t="str">
        <f t="shared" si="0"/>
        <v>7_IKON_2_A1</v>
      </c>
      <c r="M17" s="1">
        <v>128.31</v>
      </c>
      <c r="N17" s="1">
        <v>1.2542</v>
      </c>
      <c r="O17" s="1">
        <v>2.0118999999999998</v>
      </c>
      <c r="P17" s="1">
        <v>3.0379</v>
      </c>
      <c r="Q17" s="1"/>
      <c r="R17" s="14">
        <f t="shared" si="1"/>
        <v>0.22819999999999974</v>
      </c>
      <c r="S17" s="14">
        <f t="shared" si="2"/>
        <v>11.342512053282954</v>
      </c>
      <c r="U17" s="14">
        <f t="shared" si="4"/>
        <v>11.312308895705534</v>
      </c>
      <c r="V17" s="14">
        <f t="shared" si="5"/>
        <v>116.99769110429446</v>
      </c>
      <c r="Z17" s="14">
        <f t="shared" si="8"/>
        <v>91.183610867659937</v>
      </c>
      <c r="AA17">
        <f t="shared" si="9"/>
        <v>102.5261229209429</v>
      </c>
    </row>
    <row r="18" spans="1:27" ht="16" x14ac:dyDescent="0.2">
      <c r="A18" t="s">
        <v>29</v>
      </c>
      <c r="B18" s="2">
        <v>8</v>
      </c>
      <c r="C18" s="2">
        <v>1</v>
      </c>
      <c r="D18" s="2" t="s">
        <v>30</v>
      </c>
      <c r="E18" s="2" t="s">
        <v>31</v>
      </c>
      <c r="F18" s="2">
        <v>40</v>
      </c>
      <c r="G18" s="2">
        <v>2</v>
      </c>
      <c r="H18" s="2" t="s">
        <v>32</v>
      </c>
      <c r="I18" s="2" t="s">
        <v>33</v>
      </c>
      <c r="J18" s="2">
        <v>2</v>
      </c>
      <c r="K18" s="3" t="s">
        <v>35</v>
      </c>
      <c r="L18" s="2" t="str">
        <f t="shared" si="0"/>
        <v>8_IKON_2_A2</v>
      </c>
      <c r="M18" s="2">
        <v>92.07</v>
      </c>
      <c r="N18" s="2">
        <v>1.2549999999999999</v>
      </c>
      <c r="O18" s="2">
        <v>0.81499999999999995</v>
      </c>
      <c r="P18" s="2">
        <v>1.9734</v>
      </c>
      <c r="Q18" s="2"/>
      <c r="R18" s="14">
        <f t="shared" si="1"/>
        <v>9.6599999999999797E-2</v>
      </c>
      <c r="S18" s="14">
        <f t="shared" si="2"/>
        <v>11.852760736196295</v>
      </c>
      <c r="U18" s="14">
        <f t="shared" si="4"/>
        <v>7.7678105590062261</v>
      </c>
      <c r="V18" s="14">
        <f t="shared" si="5"/>
        <v>84.302189440993772</v>
      </c>
      <c r="Z18" s="14">
        <f t="shared" si="8"/>
        <v>91.563146997929593</v>
      </c>
      <c r="AA18">
        <f t="shared" si="9"/>
        <v>103.41590773412588</v>
      </c>
    </row>
    <row r="19" spans="1:27" ht="16" x14ac:dyDescent="0.2">
      <c r="A19" t="s">
        <v>29</v>
      </c>
      <c r="B19" s="1">
        <v>9</v>
      </c>
      <c r="C19" s="1">
        <v>1</v>
      </c>
      <c r="D19" s="1" t="s">
        <v>30</v>
      </c>
      <c r="E19" s="1" t="s">
        <v>31</v>
      </c>
      <c r="F19" s="1">
        <v>40</v>
      </c>
      <c r="G19" s="1">
        <v>2</v>
      </c>
      <c r="H19" s="1" t="s">
        <v>32</v>
      </c>
      <c r="I19" s="1" t="s">
        <v>33</v>
      </c>
      <c r="J19" s="1">
        <v>3</v>
      </c>
      <c r="K19" s="1" t="s">
        <v>36</v>
      </c>
      <c r="L19" s="1" t="str">
        <f t="shared" si="0"/>
        <v>9_IKON_2_A3</v>
      </c>
      <c r="M19" s="1">
        <v>69.489999999999995</v>
      </c>
      <c r="N19" s="1">
        <v>1.2715000000000001</v>
      </c>
      <c r="O19" s="1">
        <v>0.89159999999999995</v>
      </c>
      <c r="P19" s="1">
        <v>2.0575000000000001</v>
      </c>
      <c r="Q19" s="1"/>
      <c r="R19" s="14">
        <f t="shared" si="1"/>
        <v>0.10559999999999992</v>
      </c>
      <c r="S19" s="14">
        <f t="shared" si="2"/>
        <v>11.843876177658135</v>
      </c>
      <c r="U19" s="14">
        <f t="shared" si="4"/>
        <v>5.8671670454545488</v>
      </c>
      <c r="V19" s="14">
        <f t="shared" si="5"/>
        <v>63.622832954545444</v>
      </c>
      <c r="Z19" s="14">
        <f t="shared" si="8"/>
        <v>91.556818181818173</v>
      </c>
      <c r="AA19">
        <f t="shared" si="9"/>
        <v>103.4006943594763</v>
      </c>
    </row>
    <row r="20" spans="1:27" ht="16" x14ac:dyDescent="0.2">
      <c r="A20" t="s">
        <v>29</v>
      </c>
      <c r="B20" s="2">
        <v>10</v>
      </c>
      <c r="C20" s="2">
        <v>1</v>
      </c>
      <c r="D20" s="2" t="s">
        <v>30</v>
      </c>
      <c r="E20" s="2" t="s">
        <v>31</v>
      </c>
      <c r="F20" s="2">
        <v>40</v>
      </c>
      <c r="G20" s="2">
        <v>2</v>
      </c>
      <c r="H20" s="2" t="s">
        <v>32</v>
      </c>
      <c r="I20" s="2" t="s">
        <v>33</v>
      </c>
      <c r="J20" s="2">
        <v>4</v>
      </c>
      <c r="K20" s="3" t="s">
        <v>37</v>
      </c>
      <c r="L20" s="2" t="str">
        <f t="shared" si="0"/>
        <v>10_IKON_2_A4</v>
      </c>
      <c r="M20" s="2">
        <v>89.19</v>
      </c>
      <c r="N20" s="2">
        <v>1.2968999999999999</v>
      </c>
      <c r="O20" s="2">
        <v>1.0569</v>
      </c>
      <c r="P20" s="2">
        <v>2.2281</v>
      </c>
      <c r="Q20" s="2"/>
      <c r="R20" s="14">
        <f t="shared" si="1"/>
        <v>0.1256999999999997</v>
      </c>
      <c r="S20" s="14">
        <f t="shared" si="2"/>
        <v>11.893272778881608</v>
      </c>
      <c r="U20" s="14">
        <f t="shared" si="4"/>
        <v>7.499197374701688</v>
      </c>
      <c r="V20" s="14">
        <f t="shared" si="5"/>
        <v>81.690802625298303</v>
      </c>
      <c r="Z20" s="14">
        <f t="shared" si="8"/>
        <v>91.591885441527424</v>
      </c>
      <c r="AA20">
        <f t="shared" si="9"/>
        <v>103.48515822040903</v>
      </c>
    </row>
    <row r="21" spans="1:27" ht="16" x14ac:dyDescent="0.2">
      <c r="A21" t="s">
        <v>29</v>
      </c>
      <c r="B21" s="1">
        <v>11</v>
      </c>
      <c r="C21" s="1">
        <v>1</v>
      </c>
      <c r="D21" s="1" t="s">
        <v>30</v>
      </c>
      <c r="E21" s="1" t="s">
        <v>31</v>
      </c>
      <c r="F21" s="1">
        <v>40</v>
      </c>
      <c r="G21" s="1">
        <v>2</v>
      </c>
      <c r="H21" s="1" t="s">
        <v>32</v>
      </c>
      <c r="I21" s="1" t="s">
        <v>33</v>
      </c>
      <c r="J21" s="1">
        <v>5</v>
      </c>
      <c r="K21" s="1" t="s">
        <v>38</v>
      </c>
      <c r="L21" s="1" t="str">
        <f t="shared" si="0"/>
        <v>11_IKON_2_A5</v>
      </c>
      <c r="M21" s="1">
        <v>246.26</v>
      </c>
      <c r="N21" s="1">
        <v>1.2639</v>
      </c>
      <c r="O21" s="1">
        <v>2.1596000000000002</v>
      </c>
      <c r="P21" s="1">
        <v>3.2326999999999999</v>
      </c>
      <c r="Q21" s="1"/>
      <c r="R21" s="14">
        <f t="shared" si="1"/>
        <v>0.1908000000000003</v>
      </c>
      <c r="S21" s="14">
        <f t="shared" si="2"/>
        <v>8.8349694387849738</v>
      </c>
      <c r="U21" s="14">
        <f t="shared" si="4"/>
        <v>27.873327882599536</v>
      </c>
      <c r="V21" s="14">
        <f t="shared" si="5"/>
        <v>218.38667211740045</v>
      </c>
      <c r="Z21" s="14">
        <f t="shared" si="8"/>
        <v>88.681341719077594</v>
      </c>
      <c r="AA21">
        <f t="shared" si="9"/>
        <v>97.51631115786256</v>
      </c>
    </row>
    <row r="22" spans="1:27" ht="16" x14ac:dyDescent="0.2">
      <c r="A22" t="s">
        <v>29</v>
      </c>
      <c r="B22" s="2">
        <v>12</v>
      </c>
      <c r="C22" s="2">
        <v>1</v>
      </c>
      <c r="D22" s="2" t="s">
        <v>30</v>
      </c>
      <c r="E22" s="2" t="s">
        <v>31</v>
      </c>
      <c r="F22" s="2">
        <v>40</v>
      </c>
      <c r="G22" s="2">
        <v>2</v>
      </c>
      <c r="H22" s="2" t="s">
        <v>32</v>
      </c>
      <c r="I22" s="2" t="s">
        <v>33</v>
      </c>
      <c r="J22" s="2">
        <v>6</v>
      </c>
      <c r="K22" s="3" t="s">
        <v>39</v>
      </c>
      <c r="L22" s="2" t="str">
        <f t="shared" si="0"/>
        <v>12_IKON_2_A6</v>
      </c>
      <c r="M22" s="2">
        <v>632.79999999999995</v>
      </c>
      <c r="N22" s="2">
        <v>1.2685999999999999</v>
      </c>
      <c r="O22" s="2">
        <v>2.0577999999999999</v>
      </c>
      <c r="P22" s="2">
        <v>3.1202000000000001</v>
      </c>
      <c r="Q22" s="2"/>
      <c r="R22" s="14">
        <f t="shared" si="1"/>
        <v>0.20619999999999949</v>
      </c>
      <c r="S22" s="14">
        <f t="shared" si="2"/>
        <v>10.02041014675865</v>
      </c>
      <c r="U22" s="14">
        <f t="shared" si="4"/>
        <v>63.151107662463779</v>
      </c>
      <c r="V22" s="14">
        <f t="shared" si="5"/>
        <v>569.64889233753615</v>
      </c>
      <c r="Z22" s="14">
        <f t="shared" si="8"/>
        <v>90.020368574199779</v>
      </c>
      <c r="AA22">
        <f t="shared" si="9"/>
        <v>100.04077872095843</v>
      </c>
    </row>
    <row r="23" spans="1:27" ht="16" x14ac:dyDescent="0.2">
      <c r="A23" t="s">
        <v>29</v>
      </c>
      <c r="B23" s="1">
        <v>13</v>
      </c>
      <c r="C23" s="1">
        <v>1</v>
      </c>
      <c r="D23" s="1" t="s">
        <v>30</v>
      </c>
      <c r="E23" s="1" t="s">
        <v>31</v>
      </c>
      <c r="F23" s="1">
        <v>40</v>
      </c>
      <c r="G23" s="1">
        <v>3</v>
      </c>
      <c r="H23" s="1" t="s">
        <v>32</v>
      </c>
      <c r="I23" s="1" t="s">
        <v>33</v>
      </c>
      <c r="J23" s="1">
        <v>1</v>
      </c>
      <c r="K23" s="1" t="s">
        <v>34</v>
      </c>
      <c r="L23" s="1" t="str">
        <f t="shared" si="0"/>
        <v>13_IKON_3_A1</v>
      </c>
      <c r="M23" s="1">
        <v>110.96</v>
      </c>
      <c r="N23" s="1">
        <v>1.2758</v>
      </c>
      <c r="O23" s="1">
        <v>2.0823</v>
      </c>
      <c r="P23" s="1">
        <v>3.0901000000000001</v>
      </c>
      <c r="Q23" s="1"/>
      <c r="R23" s="14">
        <f t="shared" si="1"/>
        <v>0.26800000000000024</v>
      </c>
      <c r="S23" s="14">
        <f t="shared" si="2"/>
        <v>12.870383710320329</v>
      </c>
      <c r="U23" s="14">
        <f t="shared" si="4"/>
        <v>8.6213435820895441</v>
      </c>
      <c r="V23" s="14">
        <f t="shared" si="5"/>
        <v>102.33865641791044</v>
      </c>
      <c r="Z23" s="14">
        <f t="shared" si="8"/>
        <v>92.230223880597023</v>
      </c>
      <c r="AA23">
        <f t="shared" si="9"/>
        <v>105.10060759091735</v>
      </c>
    </row>
    <row r="24" spans="1:27" ht="16" x14ac:dyDescent="0.2">
      <c r="A24" t="s">
        <v>29</v>
      </c>
      <c r="B24" s="2">
        <v>14</v>
      </c>
      <c r="C24" s="2">
        <v>1</v>
      </c>
      <c r="D24" s="2" t="s">
        <v>30</v>
      </c>
      <c r="E24" s="2" t="s">
        <v>31</v>
      </c>
      <c r="F24" s="2">
        <v>40</v>
      </c>
      <c r="G24" s="2">
        <v>3</v>
      </c>
      <c r="H24" s="2" t="s">
        <v>32</v>
      </c>
      <c r="I24" s="2" t="s">
        <v>33</v>
      </c>
      <c r="J24" s="2">
        <v>2</v>
      </c>
      <c r="K24" s="3" t="s">
        <v>35</v>
      </c>
      <c r="L24" s="2" t="str">
        <f t="shared" si="0"/>
        <v>14_IKON_3_A2</v>
      </c>
      <c r="M24" s="2">
        <v>128.88</v>
      </c>
      <c r="N24" s="2">
        <v>1.2759</v>
      </c>
      <c r="O24" s="2">
        <v>2.0386000000000002</v>
      </c>
      <c r="P24" s="2">
        <v>3.0640000000000001</v>
      </c>
      <c r="Q24" s="2"/>
      <c r="R24" s="14">
        <f t="shared" si="1"/>
        <v>0.25050000000000017</v>
      </c>
      <c r="S24" s="14">
        <f t="shared" si="2"/>
        <v>12.287844599234777</v>
      </c>
      <c r="U24" s="14">
        <f t="shared" si="4"/>
        <v>10.488413892215561</v>
      </c>
      <c r="V24" s="14">
        <f t="shared" si="5"/>
        <v>118.39158610778443</v>
      </c>
      <c r="Z24" s="14">
        <f t="shared" si="8"/>
        <v>91.861876247504995</v>
      </c>
      <c r="AA24">
        <f t="shared" si="9"/>
        <v>104.14972084673977</v>
      </c>
    </row>
    <row r="25" spans="1:27" ht="16" x14ac:dyDescent="0.2">
      <c r="A25" t="s">
        <v>29</v>
      </c>
      <c r="B25" s="1">
        <v>15</v>
      </c>
      <c r="C25" s="1">
        <v>1</v>
      </c>
      <c r="D25" s="1" t="s">
        <v>30</v>
      </c>
      <c r="E25" s="1" t="s">
        <v>31</v>
      </c>
      <c r="F25" s="1">
        <v>40</v>
      </c>
      <c r="G25" s="1">
        <v>3</v>
      </c>
      <c r="H25" s="1" t="s">
        <v>32</v>
      </c>
      <c r="I25" s="1" t="s">
        <v>33</v>
      </c>
      <c r="J25" s="1">
        <v>3</v>
      </c>
      <c r="K25" s="1" t="s">
        <v>36</v>
      </c>
      <c r="L25" s="1" t="str">
        <f t="shared" si="0"/>
        <v>15_IKON_3_A3</v>
      </c>
      <c r="M25" s="1">
        <v>105.32</v>
      </c>
      <c r="N25" s="1">
        <v>1.2732000000000001</v>
      </c>
      <c r="O25" s="1">
        <v>2.2461000000000002</v>
      </c>
      <c r="P25" s="1">
        <v>3.2610000000000001</v>
      </c>
      <c r="Q25" s="1"/>
      <c r="R25" s="14">
        <f t="shared" si="1"/>
        <v>0.2583000000000002</v>
      </c>
      <c r="S25" s="14">
        <f t="shared" si="2"/>
        <v>11.499933217577141</v>
      </c>
      <c r="U25" s="14">
        <f t="shared" si="4"/>
        <v>9.1583140534262419</v>
      </c>
      <c r="V25" s="14">
        <f t="shared" si="5"/>
        <v>96.161685946573755</v>
      </c>
      <c r="Z25" s="14">
        <f t="shared" si="8"/>
        <v>91.304297328687582</v>
      </c>
      <c r="AA25">
        <f t="shared" si="9"/>
        <v>102.80423054626472</v>
      </c>
    </row>
    <row r="26" spans="1:27" ht="16" x14ac:dyDescent="0.2">
      <c r="A26" t="s">
        <v>29</v>
      </c>
      <c r="B26" s="2">
        <v>16</v>
      </c>
      <c r="C26" s="2">
        <v>1</v>
      </c>
      <c r="D26" s="2" t="s">
        <v>30</v>
      </c>
      <c r="E26" s="2" t="s">
        <v>31</v>
      </c>
      <c r="F26" s="2">
        <v>40</v>
      </c>
      <c r="G26" s="2">
        <v>3</v>
      </c>
      <c r="H26" s="2" t="s">
        <v>32</v>
      </c>
      <c r="I26" s="2" t="s">
        <v>33</v>
      </c>
      <c r="J26" s="2">
        <v>4</v>
      </c>
      <c r="K26" s="3" t="s">
        <v>37</v>
      </c>
      <c r="L26" s="2" t="str">
        <f t="shared" si="0"/>
        <v>16_IKON_3_A4</v>
      </c>
      <c r="M26" s="2">
        <v>126.69</v>
      </c>
      <c r="N26" s="2">
        <v>1.2686999999999999</v>
      </c>
      <c r="O26" s="2">
        <v>2.1760000000000002</v>
      </c>
      <c r="P26" s="2">
        <v>3.2522000000000002</v>
      </c>
      <c r="Q26" s="2"/>
      <c r="R26" s="14">
        <f t="shared" si="1"/>
        <v>0.19249999999999989</v>
      </c>
      <c r="S26" s="14">
        <f t="shared" si="2"/>
        <v>8.8465073529411722</v>
      </c>
      <c r="U26" s="14">
        <f t="shared" si="4"/>
        <v>14.320905974025981</v>
      </c>
      <c r="V26" s="14">
        <f t="shared" si="5"/>
        <v>112.36909402597402</v>
      </c>
      <c r="Z26" s="14">
        <f t="shared" si="8"/>
        <v>88.696103896103892</v>
      </c>
      <c r="AA26">
        <f t="shared" si="9"/>
        <v>97.542611249045066</v>
      </c>
    </row>
    <row r="27" spans="1:27" ht="16" x14ac:dyDescent="0.2">
      <c r="A27" t="s">
        <v>29</v>
      </c>
      <c r="B27" s="1">
        <v>17</v>
      </c>
      <c r="C27" s="1">
        <v>1</v>
      </c>
      <c r="D27" s="1" t="s">
        <v>30</v>
      </c>
      <c r="E27" s="1" t="s">
        <v>31</v>
      </c>
      <c r="F27" s="1">
        <v>40</v>
      </c>
      <c r="G27" s="1">
        <v>3</v>
      </c>
      <c r="H27" s="1" t="s">
        <v>32</v>
      </c>
      <c r="I27" s="1" t="s">
        <v>33</v>
      </c>
      <c r="J27" s="1">
        <v>5</v>
      </c>
      <c r="K27" s="1" t="s">
        <v>38</v>
      </c>
      <c r="L27" s="1" t="str">
        <f t="shared" si="0"/>
        <v>17_IKON_3_A5</v>
      </c>
      <c r="M27" s="1">
        <v>138.31</v>
      </c>
      <c r="N27" s="1">
        <v>1.2688999999999999</v>
      </c>
      <c r="O27" s="1">
        <v>2.0343</v>
      </c>
      <c r="P27" s="1">
        <v>3.1475</v>
      </c>
      <c r="Q27" s="1"/>
      <c r="R27" s="14">
        <f t="shared" si="1"/>
        <v>0.15569999999999995</v>
      </c>
      <c r="S27" s="14">
        <f t="shared" si="2"/>
        <v>7.653738386668631</v>
      </c>
      <c r="U27" s="14">
        <f t="shared" si="4"/>
        <v>18.070907707129098</v>
      </c>
      <c r="V27" s="14">
        <f t="shared" si="5"/>
        <v>120.23909229287091</v>
      </c>
      <c r="Z27" s="14">
        <f t="shared" si="8"/>
        <v>86.934489402697494</v>
      </c>
      <c r="AA27">
        <f t="shared" si="9"/>
        <v>94.58822778936613</v>
      </c>
    </row>
    <row r="28" spans="1:27" ht="16" x14ac:dyDescent="0.2">
      <c r="A28" t="s">
        <v>29</v>
      </c>
      <c r="B28" s="2">
        <v>18</v>
      </c>
      <c r="C28" s="2">
        <v>1</v>
      </c>
      <c r="D28" s="2" t="s">
        <v>30</v>
      </c>
      <c r="E28" s="2" t="s">
        <v>31</v>
      </c>
      <c r="F28" s="2">
        <v>40</v>
      </c>
      <c r="G28" s="2">
        <v>3</v>
      </c>
      <c r="H28" s="2" t="s">
        <v>32</v>
      </c>
      <c r="I28" s="2" t="s">
        <v>33</v>
      </c>
      <c r="J28" s="2">
        <v>6</v>
      </c>
      <c r="K28" s="3" t="s">
        <v>39</v>
      </c>
      <c r="L28" s="2" t="str">
        <f t="shared" si="0"/>
        <v>18_IKON_3_A6</v>
      </c>
      <c r="M28" s="2">
        <v>569.77</v>
      </c>
      <c r="N28" s="2">
        <v>1.2639</v>
      </c>
      <c r="O28" s="2">
        <v>2.1859999999999999</v>
      </c>
      <c r="P28" s="2">
        <v>3.2747000000000002</v>
      </c>
      <c r="Q28" s="2"/>
      <c r="R28" s="14">
        <f t="shared" si="1"/>
        <v>0.1751999999999998</v>
      </c>
      <c r="S28" s="14">
        <f t="shared" si="2"/>
        <v>8.0146386093321045</v>
      </c>
      <c r="U28" s="14">
        <f t="shared" si="4"/>
        <v>71.091165525114235</v>
      </c>
      <c r="V28" s="14">
        <f t="shared" si="5"/>
        <v>498.67883447488578</v>
      </c>
      <c r="Z28" s="14">
        <f t="shared" si="8"/>
        <v>87.522831050228305</v>
      </c>
      <c r="AA28">
        <f t="shared" si="9"/>
        <v>95.537469659560415</v>
      </c>
    </row>
    <row r="29" spans="1:27" ht="16" x14ac:dyDescent="0.2">
      <c r="A29" t="s">
        <v>29</v>
      </c>
      <c r="B29" s="1">
        <v>19</v>
      </c>
      <c r="C29" s="1">
        <v>1</v>
      </c>
      <c r="D29" s="1" t="s">
        <v>30</v>
      </c>
      <c r="E29" s="1" t="s">
        <v>31</v>
      </c>
      <c r="F29" s="1">
        <v>40</v>
      </c>
      <c r="G29" s="1">
        <v>4</v>
      </c>
      <c r="H29" s="1" t="s">
        <v>32</v>
      </c>
      <c r="I29" s="1" t="s">
        <v>33</v>
      </c>
      <c r="J29" s="1">
        <v>1</v>
      </c>
      <c r="K29" s="1" t="s">
        <v>34</v>
      </c>
      <c r="L29" s="1" t="str">
        <f t="shared" si="0"/>
        <v>19_IKON_4_A1</v>
      </c>
      <c r="M29" s="1">
        <v>88.4</v>
      </c>
      <c r="N29" s="1">
        <v>1.2564</v>
      </c>
      <c r="O29" s="1">
        <v>2.0028000000000001</v>
      </c>
      <c r="P29" s="1">
        <v>3.0419</v>
      </c>
      <c r="Q29" s="1"/>
      <c r="R29" s="14">
        <f t="shared" si="1"/>
        <v>0.21729999999999983</v>
      </c>
      <c r="S29" s="14">
        <f t="shared" si="2"/>
        <v>10.849810265628111</v>
      </c>
      <c r="U29" s="14">
        <f t="shared" si="4"/>
        <v>8.1476079153244445</v>
      </c>
      <c r="V29" s="14">
        <f t="shared" ref="V29:V92" si="10">M29-U29</f>
        <v>80.252392084675563</v>
      </c>
      <c r="Z29" s="14">
        <f t="shared" si="8"/>
        <v>90.783248964565104</v>
      </c>
      <c r="AA29">
        <f t="shared" si="9"/>
        <v>101.63305923019321</v>
      </c>
    </row>
    <row r="30" spans="1:27" ht="16" x14ac:dyDescent="0.2">
      <c r="A30" t="s">
        <v>29</v>
      </c>
      <c r="B30" s="2">
        <v>20</v>
      </c>
      <c r="C30" s="2">
        <v>1</v>
      </c>
      <c r="D30" s="2" t="s">
        <v>30</v>
      </c>
      <c r="E30" s="2" t="s">
        <v>31</v>
      </c>
      <c r="F30" s="2">
        <v>40</v>
      </c>
      <c r="G30" s="2">
        <v>4</v>
      </c>
      <c r="H30" s="2" t="s">
        <v>32</v>
      </c>
      <c r="I30" s="2" t="s">
        <v>33</v>
      </c>
      <c r="J30" s="2">
        <v>2</v>
      </c>
      <c r="K30" s="3" t="s">
        <v>35</v>
      </c>
      <c r="L30" s="2" t="str">
        <f t="shared" si="0"/>
        <v>20_IKON_4_A2</v>
      </c>
      <c r="M30" s="2">
        <v>144.62</v>
      </c>
      <c r="N30" s="2">
        <v>1.2746999999999999</v>
      </c>
      <c r="O30" s="2">
        <v>2.1509999999999998</v>
      </c>
      <c r="P30" s="2">
        <v>3.2848999999999999</v>
      </c>
      <c r="Q30" s="2"/>
      <c r="R30" s="14">
        <f t="shared" si="1"/>
        <v>0.14080000000000004</v>
      </c>
      <c r="S30" s="14">
        <f t="shared" si="2"/>
        <v>6.5457926545792677</v>
      </c>
      <c r="U30" s="14">
        <f t="shared" si="4"/>
        <v>22.093580965909084</v>
      </c>
      <c r="V30" s="14">
        <f t="shared" si="10"/>
        <v>122.52641903409092</v>
      </c>
      <c r="Z30" s="14">
        <f t="shared" si="8"/>
        <v>84.723011363636374</v>
      </c>
    </row>
    <row r="31" spans="1:27" ht="16" x14ac:dyDescent="0.2">
      <c r="A31" t="s">
        <v>29</v>
      </c>
      <c r="B31" s="1">
        <v>21</v>
      </c>
      <c r="C31" s="1">
        <v>1</v>
      </c>
      <c r="D31" s="1" t="s">
        <v>30</v>
      </c>
      <c r="E31" s="1" t="s">
        <v>31</v>
      </c>
      <c r="F31" s="1">
        <v>40</v>
      </c>
      <c r="G31" s="1">
        <v>4</v>
      </c>
      <c r="H31" s="1" t="s">
        <v>32</v>
      </c>
      <c r="I31" s="1" t="s">
        <v>33</v>
      </c>
      <c r="J31" s="1">
        <v>3</v>
      </c>
      <c r="K31" s="1" t="s">
        <v>36</v>
      </c>
      <c r="L31" s="1" t="str">
        <f t="shared" si="0"/>
        <v>21_IKON_4_A3</v>
      </c>
      <c r="M31" s="1">
        <v>118.05</v>
      </c>
      <c r="N31" s="1">
        <v>1.2559</v>
      </c>
      <c r="O31" s="1">
        <v>2.3241999999999998</v>
      </c>
      <c r="P31" s="1">
        <v>3.4129999999999998</v>
      </c>
      <c r="Q31" s="1"/>
      <c r="R31" s="14">
        <f t="shared" si="1"/>
        <v>0.16710000000000003</v>
      </c>
      <c r="S31" s="14">
        <f t="shared" si="2"/>
        <v>7.1895706049393358</v>
      </c>
      <c r="U31" s="14">
        <f t="shared" si="4"/>
        <v>16.419617594254934</v>
      </c>
      <c r="V31" s="14">
        <f t="shared" si="10"/>
        <v>101.63038240574507</v>
      </c>
      <c r="Z31" s="14">
        <f t="shared" si="8"/>
        <v>86.090963494913225</v>
      </c>
    </row>
    <row r="32" spans="1:27" ht="16" x14ac:dyDescent="0.2">
      <c r="A32" t="s">
        <v>29</v>
      </c>
      <c r="B32" s="2">
        <v>22</v>
      </c>
      <c r="C32" s="2">
        <v>1</v>
      </c>
      <c r="D32" s="2" t="s">
        <v>30</v>
      </c>
      <c r="E32" s="2" t="s">
        <v>31</v>
      </c>
      <c r="F32" s="2">
        <v>40</v>
      </c>
      <c r="G32" s="2">
        <v>4</v>
      </c>
      <c r="H32" s="2" t="s">
        <v>32</v>
      </c>
      <c r="I32" s="2" t="s">
        <v>33</v>
      </c>
      <c r="J32" s="2">
        <v>4</v>
      </c>
      <c r="K32" s="3" t="s">
        <v>37</v>
      </c>
      <c r="L32" s="2" t="str">
        <f t="shared" si="0"/>
        <v>22_IKON_4_A4</v>
      </c>
      <c r="M32" s="2">
        <v>127.7</v>
      </c>
      <c r="N32" s="2">
        <v>1.258</v>
      </c>
      <c r="O32" s="2">
        <v>2.2704</v>
      </c>
      <c r="P32" s="2">
        <v>3.3797000000000001</v>
      </c>
      <c r="Q32" s="2"/>
      <c r="R32" s="14">
        <f t="shared" si="1"/>
        <v>0.14869999999999983</v>
      </c>
      <c r="S32" s="14">
        <f t="shared" si="2"/>
        <v>6.5495066948555252</v>
      </c>
      <c r="U32" s="14">
        <f t="shared" si="4"/>
        <v>19.497651647612663</v>
      </c>
      <c r="V32" s="14">
        <f t="shared" si="10"/>
        <v>108.20234835238733</v>
      </c>
      <c r="Z32" s="14">
        <f t="shared" si="8"/>
        <v>84.731674512441131</v>
      </c>
    </row>
    <row r="33" spans="1:26" ht="16" x14ac:dyDescent="0.2">
      <c r="A33" t="s">
        <v>29</v>
      </c>
      <c r="B33" s="1">
        <v>23</v>
      </c>
      <c r="C33" s="1">
        <v>1</v>
      </c>
      <c r="D33" s="1" t="s">
        <v>30</v>
      </c>
      <c r="E33" s="1" t="s">
        <v>31</v>
      </c>
      <c r="F33" s="1">
        <v>40</v>
      </c>
      <c r="G33" s="1">
        <v>4</v>
      </c>
      <c r="H33" s="1" t="s">
        <v>32</v>
      </c>
      <c r="I33" s="1" t="s">
        <v>33</v>
      </c>
      <c r="J33" s="1">
        <v>5</v>
      </c>
      <c r="K33" s="1" t="s">
        <v>38</v>
      </c>
      <c r="L33" s="1" t="str">
        <f t="shared" si="0"/>
        <v>23_IKON_4_A5</v>
      </c>
      <c r="M33" s="1">
        <v>130.75</v>
      </c>
      <c r="N33" s="1">
        <v>1.2678</v>
      </c>
      <c r="O33" s="1">
        <v>2.3290999999999999</v>
      </c>
      <c r="P33" s="1">
        <v>3.4500999999999999</v>
      </c>
      <c r="Q33" s="1"/>
      <c r="R33" s="14">
        <f t="shared" si="1"/>
        <v>0.14679999999999982</v>
      </c>
      <c r="S33" s="14">
        <f t="shared" si="2"/>
        <v>6.30286376712034</v>
      </c>
      <c r="U33" s="14">
        <f t="shared" si="4"/>
        <v>20.744538487738442</v>
      </c>
      <c r="V33" s="14">
        <f t="shared" si="10"/>
        <v>110.00546151226156</v>
      </c>
      <c r="Z33" s="14">
        <f t="shared" si="8"/>
        <v>84.134196185286086</v>
      </c>
    </row>
    <row r="34" spans="1:26" ht="16" x14ac:dyDescent="0.2">
      <c r="A34" t="s">
        <v>29</v>
      </c>
      <c r="B34" s="2">
        <v>24</v>
      </c>
      <c r="C34" s="2">
        <v>1</v>
      </c>
      <c r="D34" s="2" t="s">
        <v>30</v>
      </c>
      <c r="E34" s="2" t="s">
        <v>31</v>
      </c>
      <c r="F34" s="2">
        <v>40</v>
      </c>
      <c r="G34" s="2">
        <v>4</v>
      </c>
      <c r="H34" s="2" t="s">
        <v>32</v>
      </c>
      <c r="I34" s="2" t="s">
        <v>33</v>
      </c>
      <c r="J34" s="2">
        <v>6</v>
      </c>
      <c r="K34" s="3" t="s">
        <v>39</v>
      </c>
      <c r="L34" s="2" t="str">
        <f t="shared" si="0"/>
        <v>24_IKON_4_A6</v>
      </c>
      <c r="M34" s="2">
        <v>685.83</v>
      </c>
      <c r="N34" s="2">
        <v>1.2702</v>
      </c>
      <c r="O34" s="2">
        <v>2.3622999999999998</v>
      </c>
      <c r="P34" s="2">
        <v>3.4794999999999998</v>
      </c>
      <c r="Q34" s="2"/>
      <c r="R34" s="14">
        <f t="shared" si="1"/>
        <v>0.15300000000000002</v>
      </c>
      <c r="S34" s="14">
        <f t="shared" si="2"/>
        <v>6.4767387715362172</v>
      </c>
      <c r="U34" s="14">
        <f t="shared" si="4"/>
        <v>105.89125549019604</v>
      </c>
      <c r="V34" s="14">
        <f t="shared" si="10"/>
        <v>579.938744509804</v>
      </c>
      <c r="Z34" s="14">
        <f t="shared" si="8"/>
        <v>84.560130718954255</v>
      </c>
    </row>
    <row r="35" spans="1:26" ht="16" x14ac:dyDescent="0.2">
      <c r="A35" t="s">
        <v>29</v>
      </c>
      <c r="B35" s="1">
        <v>25</v>
      </c>
      <c r="C35" s="1">
        <v>1</v>
      </c>
      <c r="D35" s="1" t="s">
        <v>30</v>
      </c>
      <c r="E35" s="1" t="s">
        <v>31</v>
      </c>
      <c r="F35" s="1">
        <v>40</v>
      </c>
      <c r="G35" s="1">
        <v>5</v>
      </c>
      <c r="H35" s="1" t="s">
        <v>32</v>
      </c>
      <c r="I35" s="1" t="s">
        <v>33</v>
      </c>
      <c r="J35" s="1">
        <v>1</v>
      </c>
      <c r="K35" s="1" t="s">
        <v>34</v>
      </c>
      <c r="L35" s="1" t="str">
        <f t="shared" si="0"/>
        <v>25_IKON_5_A1</v>
      </c>
      <c r="M35" s="1">
        <v>136.5</v>
      </c>
      <c r="N35" s="1">
        <v>1.27</v>
      </c>
      <c r="O35" s="1">
        <v>2.4929000000000001</v>
      </c>
      <c r="P35" s="1">
        <v>3.5264000000000002</v>
      </c>
      <c r="Q35" s="1"/>
      <c r="R35" s="14">
        <f t="shared" si="1"/>
        <v>0.23649999999999993</v>
      </c>
      <c r="S35" s="14">
        <f t="shared" si="2"/>
        <v>9.486942917886795</v>
      </c>
      <c r="U35" s="14">
        <f t="shared" si="4"/>
        <v>14.388196617336158</v>
      </c>
      <c r="V35" s="14">
        <f t="shared" si="10"/>
        <v>122.11180338266384</v>
      </c>
      <c r="Z35" s="14">
        <f t="shared" si="8"/>
        <v>89.459196617336147</v>
      </c>
    </row>
    <row r="36" spans="1:26" ht="16" x14ac:dyDescent="0.2">
      <c r="A36" t="s">
        <v>29</v>
      </c>
      <c r="B36" s="2">
        <v>26</v>
      </c>
      <c r="C36" s="2">
        <v>1</v>
      </c>
      <c r="D36" s="2" t="s">
        <v>30</v>
      </c>
      <c r="E36" s="2" t="s">
        <v>31</v>
      </c>
      <c r="F36" s="2">
        <v>40</v>
      </c>
      <c r="G36" s="2">
        <v>5</v>
      </c>
      <c r="H36" s="2" t="s">
        <v>32</v>
      </c>
      <c r="I36" s="2" t="s">
        <v>33</v>
      </c>
      <c r="J36" s="2">
        <v>2</v>
      </c>
      <c r="K36" s="3" t="s">
        <v>35</v>
      </c>
      <c r="L36" s="2" t="str">
        <f t="shared" si="0"/>
        <v>26_IKON_5_A2</v>
      </c>
      <c r="M36" s="2">
        <v>124.94</v>
      </c>
      <c r="N36" s="2">
        <v>1.2715000000000001</v>
      </c>
      <c r="O36" s="2">
        <v>2.4460000000000002</v>
      </c>
      <c r="P36" s="2">
        <v>3.4925999999999999</v>
      </c>
      <c r="Q36" s="2"/>
      <c r="R36" s="14">
        <f t="shared" si="1"/>
        <v>0.22490000000000032</v>
      </c>
      <c r="S36" s="14">
        <f t="shared" si="2"/>
        <v>9.1946034341782621</v>
      </c>
      <c r="U36" s="14">
        <f t="shared" si="4"/>
        <v>13.588405513561565</v>
      </c>
      <c r="V36" s="14">
        <f t="shared" si="10"/>
        <v>111.35159448643843</v>
      </c>
      <c r="Z36" s="14">
        <f t="shared" si="8"/>
        <v>89.124055135615848</v>
      </c>
    </row>
    <row r="37" spans="1:26" ht="16" x14ac:dyDescent="0.2">
      <c r="A37" t="s">
        <v>29</v>
      </c>
      <c r="B37" s="1">
        <v>27</v>
      </c>
      <c r="C37" s="1">
        <v>1</v>
      </c>
      <c r="D37" s="1" t="s">
        <v>30</v>
      </c>
      <c r="E37" s="1" t="s">
        <v>31</v>
      </c>
      <c r="F37" s="1">
        <v>40</v>
      </c>
      <c r="G37" s="1">
        <v>5</v>
      </c>
      <c r="H37" s="1" t="s">
        <v>32</v>
      </c>
      <c r="I37" s="1" t="s">
        <v>33</v>
      </c>
      <c r="J37" s="1">
        <v>3</v>
      </c>
      <c r="K37" s="1" t="s">
        <v>36</v>
      </c>
      <c r="L37" s="1" t="str">
        <f t="shared" si="0"/>
        <v>27_IKON_5_A3</v>
      </c>
      <c r="M37" s="1">
        <v>149.16999999999999</v>
      </c>
      <c r="N37" s="1">
        <v>1.2726</v>
      </c>
      <c r="O37" s="1">
        <v>2.2147000000000001</v>
      </c>
      <c r="P37" s="1">
        <v>3.2452999999999999</v>
      </c>
      <c r="Q37" s="1"/>
      <c r="R37" s="14">
        <f t="shared" si="1"/>
        <v>0.24200000000000044</v>
      </c>
      <c r="S37" s="14">
        <f t="shared" si="2"/>
        <v>10.926987853885421</v>
      </c>
      <c r="U37" s="14">
        <f t="shared" si="4"/>
        <v>13.651520619834685</v>
      </c>
      <c r="V37" s="14">
        <f t="shared" si="10"/>
        <v>135.5184793801653</v>
      </c>
      <c r="Z37" s="14">
        <f t="shared" si="8"/>
        <v>90.84834710743803</v>
      </c>
    </row>
    <row r="38" spans="1:26" ht="16" x14ac:dyDescent="0.2">
      <c r="A38" t="s">
        <v>29</v>
      </c>
      <c r="B38" s="2">
        <v>28</v>
      </c>
      <c r="C38" s="2">
        <v>1</v>
      </c>
      <c r="D38" s="2" t="s">
        <v>30</v>
      </c>
      <c r="E38" s="2" t="s">
        <v>31</v>
      </c>
      <c r="F38" s="2">
        <v>40</v>
      </c>
      <c r="G38" s="2">
        <v>5</v>
      </c>
      <c r="H38" s="2" t="s">
        <v>32</v>
      </c>
      <c r="I38" s="2" t="s">
        <v>33</v>
      </c>
      <c r="J38" s="2">
        <v>4</v>
      </c>
      <c r="K38" s="3" t="s">
        <v>37</v>
      </c>
      <c r="L38" s="2" t="str">
        <f t="shared" si="0"/>
        <v>28_IKON_5_A4</v>
      </c>
      <c r="M38" s="2">
        <v>128.19999999999999</v>
      </c>
      <c r="N38" s="2">
        <v>1.2713000000000001</v>
      </c>
      <c r="O38" s="2">
        <v>2.2176999999999998</v>
      </c>
      <c r="P38" s="2">
        <v>3.302</v>
      </c>
      <c r="Q38" s="2"/>
      <c r="R38" s="14">
        <f t="shared" si="1"/>
        <v>0.18699999999999983</v>
      </c>
      <c r="S38" s="14">
        <f t="shared" si="2"/>
        <v>8.4321594444694892</v>
      </c>
      <c r="U38" s="14">
        <f t="shared" si="4"/>
        <v>15.203697326203219</v>
      </c>
      <c r="V38" s="14">
        <f t="shared" si="10"/>
        <v>112.99630267379678</v>
      </c>
      <c r="Z38" s="14">
        <f t="shared" si="8"/>
        <v>88.140641711229932</v>
      </c>
    </row>
    <row r="39" spans="1:26" ht="16" x14ac:dyDescent="0.2">
      <c r="A39" t="s">
        <v>29</v>
      </c>
      <c r="B39" s="1">
        <v>29</v>
      </c>
      <c r="C39" s="1">
        <v>1</v>
      </c>
      <c r="D39" s="1" t="s">
        <v>30</v>
      </c>
      <c r="E39" s="1" t="s">
        <v>31</v>
      </c>
      <c r="F39" s="1">
        <v>40</v>
      </c>
      <c r="G39" s="1">
        <v>5</v>
      </c>
      <c r="H39" s="1" t="s">
        <v>32</v>
      </c>
      <c r="I39" s="1" t="s">
        <v>33</v>
      </c>
      <c r="J39" s="1">
        <v>5</v>
      </c>
      <c r="K39" s="1" t="s">
        <v>38</v>
      </c>
      <c r="L39" s="1" t="str">
        <f t="shared" si="0"/>
        <v>29_IKON_5_A5</v>
      </c>
      <c r="M39" s="1">
        <v>140.5</v>
      </c>
      <c r="N39" s="1">
        <v>1.2715000000000001</v>
      </c>
      <c r="O39" s="1">
        <v>2.8407</v>
      </c>
      <c r="P39" s="1">
        <v>3.8068</v>
      </c>
      <c r="Q39" s="1"/>
      <c r="R39" s="14">
        <f>(N39+O39)-P39</f>
        <v>0.30539999999999967</v>
      </c>
      <c r="S39" s="14">
        <f t="shared" si="2"/>
        <v>10.750871264125028</v>
      </c>
      <c r="U39" s="14">
        <f t="shared" si="4"/>
        <v>13.068708251473492</v>
      </c>
      <c r="V39" s="14">
        <f t="shared" si="10"/>
        <v>127.4312917485265</v>
      </c>
      <c r="Z39" s="14">
        <f t="shared" si="8"/>
        <v>90.698428290766202</v>
      </c>
    </row>
    <row r="40" spans="1:26" ht="16" x14ac:dyDescent="0.2">
      <c r="A40" t="s">
        <v>29</v>
      </c>
      <c r="B40" s="2">
        <v>30</v>
      </c>
      <c r="C40" s="2">
        <v>1</v>
      </c>
      <c r="D40" s="2" t="s">
        <v>30</v>
      </c>
      <c r="E40" s="2" t="s">
        <v>31</v>
      </c>
      <c r="F40" s="2">
        <v>40</v>
      </c>
      <c r="G40" s="2">
        <v>5</v>
      </c>
      <c r="H40" s="2" t="s">
        <v>32</v>
      </c>
      <c r="I40" s="2" t="s">
        <v>33</v>
      </c>
      <c r="J40" s="2">
        <v>6</v>
      </c>
      <c r="K40" s="3" t="s">
        <v>39</v>
      </c>
      <c r="L40" s="2" t="str">
        <f t="shared" si="0"/>
        <v>30_IKON_5_A6</v>
      </c>
      <c r="M40" s="2">
        <v>668.86</v>
      </c>
      <c r="N40" s="2">
        <v>1.2613000000000001</v>
      </c>
      <c r="O40" s="2">
        <v>2.2241</v>
      </c>
      <c r="P40" s="2">
        <v>3.3167</v>
      </c>
      <c r="Q40" s="2"/>
      <c r="R40" s="14">
        <f t="shared" si="1"/>
        <v>0.16870000000000029</v>
      </c>
      <c r="S40" s="14">
        <f t="shared" si="2"/>
        <v>7.5850905984443271</v>
      </c>
      <c r="U40" s="14">
        <f t="shared" si="4"/>
        <v>88.180884765856405</v>
      </c>
      <c r="V40" s="14">
        <f t="shared" si="10"/>
        <v>580.67911523414364</v>
      </c>
      <c r="Z40" s="14">
        <f t="shared" si="8"/>
        <v>86.816241849436892</v>
      </c>
    </row>
    <row r="41" spans="1:26" ht="16" x14ac:dyDescent="0.2">
      <c r="A41" t="s">
        <v>29</v>
      </c>
      <c r="B41" s="1">
        <v>31</v>
      </c>
      <c r="C41" s="1">
        <v>1</v>
      </c>
      <c r="D41" s="1" t="s">
        <v>30</v>
      </c>
      <c r="E41" s="1" t="s">
        <v>31</v>
      </c>
      <c r="F41" s="1">
        <v>40</v>
      </c>
      <c r="G41" s="1" t="s">
        <v>40</v>
      </c>
      <c r="H41" s="1" t="s">
        <v>32</v>
      </c>
      <c r="I41" s="1" t="s">
        <v>33</v>
      </c>
      <c r="J41" s="1">
        <v>1</v>
      </c>
      <c r="K41" s="1" t="s">
        <v>34</v>
      </c>
      <c r="L41" s="1" t="str">
        <f t="shared" si="0"/>
        <v>31_IKON_EX_A1</v>
      </c>
      <c r="M41" s="1">
        <v>123.4</v>
      </c>
      <c r="N41" s="1">
        <v>1.264</v>
      </c>
      <c r="O41" s="1">
        <v>2.0347</v>
      </c>
      <c r="P41" s="1">
        <v>3.0724999999999998</v>
      </c>
      <c r="Q41" s="1"/>
      <c r="R41" s="14">
        <f t="shared" si="1"/>
        <v>0.2262000000000004</v>
      </c>
      <c r="S41" s="14">
        <f t="shared" si="2"/>
        <v>11.117118002653974</v>
      </c>
      <c r="U41" s="14">
        <f t="shared" si="4"/>
        <v>11.099999115826682</v>
      </c>
      <c r="V41" s="14">
        <f t="shared" si="10"/>
        <v>112.30000088417333</v>
      </c>
      <c r="Z41" s="14">
        <f t="shared" si="8"/>
        <v>91.004862953138826</v>
      </c>
    </row>
    <row r="42" spans="1:26" ht="16" x14ac:dyDescent="0.2">
      <c r="A42" t="s">
        <v>29</v>
      </c>
      <c r="B42" s="2">
        <v>32</v>
      </c>
      <c r="C42" s="2">
        <v>1</v>
      </c>
      <c r="D42" s="2" t="s">
        <v>30</v>
      </c>
      <c r="E42" s="2" t="s">
        <v>31</v>
      </c>
      <c r="F42" s="2">
        <v>40</v>
      </c>
      <c r="G42" s="2" t="s">
        <v>40</v>
      </c>
      <c r="H42" s="2" t="s">
        <v>32</v>
      </c>
      <c r="I42" s="2" t="s">
        <v>33</v>
      </c>
      <c r="J42" s="2">
        <v>2</v>
      </c>
      <c r="K42" s="3" t="s">
        <v>35</v>
      </c>
      <c r="L42" s="2" t="str">
        <f t="shared" si="0"/>
        <v>32_IKON_EX_A2</v>
      </c>
      <c r="M42" s="2">
        <v>150.24</v>
      </c>
      <c r="N42" s="2">
        <v>1.2617</v>
      </c>
      <c r="O42" s="2">
        <v>2.1825999999999999</v>
      </c>
      <c r="P42" s="2">
        <v>3.1848000000000001</v>
      </c>
      <c r="Q42" s="2"/>
      <c r="R42" s="14">
        <f t="shared" si="1"/>
        <v>0.25950000000000006</v>
      </c>
      <c r="S42" s="14">
        <f t="shared" si="2"/>
        <v>11.889489599560161</v>
      </c>
      <c r="U42" s="14">
        <f t="shared" si="4"/>
        <v>12.636370867052021</v>
      </c>
      <c r="V42" s="14">
        <f t="shared" si="10"/>
        <v>137.60362913294799</v>
      </c>
      <c r="Z42" s="14">
        <f t="shared" si="8"/>
        <v>91.589210019267824</v>
      </c>
    </row>
    <row r="43" spans="1:26" ht="16" x14ac:dyDescent="0.2">
      <c r="A43" t="s">
        <v>29</v>
      </c>
      <c r="B43" s="1">
        <v>33</v>
      </c>
      <c r="C43" s="1">
        <v>1</v>
      </c>
      <c r="D43" s="1" t="s">
        <v>30</v>
      </c>
      <c r="E43" s="1" t="s">
        <v>31</v>
      </c>
      <c r="F43" s="1">
        <v>40</v>
      </c>
      <c r="G43" s="1" t="s">
        <v>40</v>
      </c>
      <c r="H43" s="1" t="s">
        <v>32</v>
      </c>
      <c r="I43" s="1" t="s">
        <v>33</v>
      </c>
      <c r="J43" s="1">
        <v>3</v>
      </c>
      <c r="K43" s="1" t="s">
        <v>36</v>
      </c>
      <c r="L43" s="1" t="str">
        <f t="shared" ref="L43:L74" si="11">_xlfn.CONCAT(B43,"_",D43,"_",G43,"_", H43,J43)</f>
        <v>33_IKON_EX_A3</v>
      </c>
      <c r="M43" s="1">
        <v>120.95</v>
      </c>
      <c r="N43" s="1">
        <v>1.2625999999999999</v>
      </c>
      <c r="O43" s="1">
        <v>2.0853999999999999</v>
      </c>
      <c r="P43" s="1">
        <v>3.1089000000000002</v>
      </c>
      <c r="Q43" s="1"/>
      <c r="R43" s="14">
        <f t="shared" si="1"/>
        <v>0.23909999999999965</v>
      </c>
      <c r="S43" s="14">
        <f t="shared" si="2"/>
        <v>11.465426297113247</v>
      </c>
      <c r="U43" s="14">
        <f t="shared" si="4"/>
        <v>10.549106231702233</v>
      </c>
      <c r="V43" s="14">
        <f t="shared" si="10"/>
        <v>110.40089376829778</v>
      </c>
      <c r="Z43" s="14">
        <f t="shared" si="8"/>
        <v>91.278126306984518</v>
      </c>
    </row>
    <row r="44" spans="1:26" ht="16" x14ac:dyDescent="0.2">
      <c r="A44" t="s">
        <v>29</v>
      </c>
      <c r="B44" s="2">
        <v>34</v>
      </c>
      <c r="C44" s="2">
        <v>1</v>
      </c>
      <c r="D44" s="2" t="s">
        <v>30</v>
      </c>
      <c r="E44" s="2" t="s">
        <v>31</v>
      </c>
      <c r="F44" s="2">
        <v>40</v>
      </c>
      <c r="G44" s="2" t="s">
        <v>40</v>
      </c>
      <c r="H44" s="2" t="s">
        <v>32</v>
      </c>
      <c r="I44" s="2" t="s">
        <v>33</v>
      </c>
      <c r="J44" s="2">
        <v>4</v>
      </c>
      <c r="K44" s="3" t="s">
        <v>37</v>
      </c>
      <c r="L44" s="2" t="str">
        <f t="shared" si="11"/>
        <v>34_IKON_EX_A4</v>
      </c>
      <c r="M44" s="2">
        <v>142.66999999999999</v>
      </c>
      <c r="N44" s="2">
        <v>1.2586999999999999</v>
      </c>
      <c r="O44" s="2">
        <v>2.2581000000000002</v>
      </c>
      <c r="P44" s="2">
        <v>3.2774999999999999</v>
      </c>
      <c r="Q44" s="2"/>
      <c r="R44" s="14">
        <f t="shared" si="1"/>
        <v>0.23930000000000007</v>
      </c>
      <c r="S44" s="14">
        <f t="shared" si="2"/>
        <v>10.597404897923035</v>
      </c>
      <c r="U44" s="14">
        <f t="shared" si="4"/>
        <v>13.462729920601751</v>
      </c>
      <c r="V44" s="14">
        <f t="shared" si="10"/>
        <v>129.20727007939823</v>
      </c>
      <c r="Z44" s="14">
        <f t="shared" si="8"/>
        <v>90.563727538654405</v>
      </c>
    </row>
    <row r="45" spans="1:26" ht="16" x14ac:dyDescent="0.2">
      <c r="A45" t="s">
        <v>29</v>
      </c>
      <c r="B45" s="1">
        <v>35</v>
      </c>
      <c r="C45" s="1">
        <v>1</v>
      </c>
      <c r="D45" s="1" t="s">
        <v>30</v>
      </c>
      <c r="E45" s="1" t="s">
        <v>31</v>
      </c>
      <c r="F45" s="1">
        <v>40</v>
      </c>
      <c r="G45" s="1" t="s">
        <v>40</v>
      </c>
      <c r="H45" s="1" t="s">
        <v>32</v>
      </c>
      <c r="I45" s="1" t="s">
        <v>33</v>
      </c>
      <c r="J45" s="1">
        <v>5</v>
      </c>
      <c r="K45" s="1" t="s">
        <v>38</v>
      </c>
      <c r="L45" s="1" t="str">
        <f t="shared" si="11"/>
        <v>35_IKON_EX_A5</v>
      </c>
      <c r="M45" s="1">
        <v>137.33000000000001</v>
      </c>
      <c r="N45" s="1">
        <v>1.2595000000000001</v>
      </c>
      <c r="O45" s="1">
        <v>2.2605</v>
      </c>
      <c r="P45" s="1">
        <v>3.2776999999999998</v>
      </c>
      <c r="Q45" s="1"/>
      <c r="R45" s="14">
        <f t="shared" si="1"/>
        <v>0.24230000000000018</v>
      </c>
      <c r="S45" s="14">
        <f t="shared" si="2"/>
        <v>10.718867507188683</v>
      </c>
      <c r="U45" s="14">
        <f t="shared" si="4"/>
        <v>12.811987825010309</v>
      </c>
      <c r="V45" s="14">
        <f t="shared" si="10"/>
        <v>124.51801217498971</v>
      </c>
      <c r="Z45" s="14">
        <f t="shared" si="8"/>
        <v>90.670656211308312</v>
      </c>
    </row>
    <row r="46" spans="1:26" ht="16" x14ac:dyDescent="0.2">
      <c r="A46" t="s">
        <v>29</v>
      </c>
      <c r="B46" s="2">
        <v>36</v>
      </c>
      <c r="C46" s="2">
        <v>1</v>
      </c>
      <c r="D46" s="2" t="s">
        <v>30</v>
      </c>
      <c r="E46" s="2" t="s">
        <v>31</v>
      </c>
      <c r="F46" s="2">
        <v>40</v>
      </c>
      <c r="G46" s="2" t="s">
        <v>40</v>
      </c>
      <c r="H46" s="2" t="s">
        <v>32</v>
      </c>
      <c r="I46" s="2" t="s">
        <v>33</v>
      </c>
      <c r="J46" s="2">
        <v>6</v>
      </c>
      <c r="K46" s="3" t="s">
        <v>39</v>
      </c>
      <c r="L46" s="2" t="str">
        <f t="shared" si="11"/>
        <v>36_IKON_EX_A6</v>
      </c>
      <c r="M46" s="2">
        <v>629.01</v>
      </c>
      <c r="N46" s="2">
        <v>1.2614000000000001</v>
      </c>
      <c r="O46" s="2">
        <v>1.9103000000000001</v>
      </c>
      <c r="P46" s="2">
        <v>2.8692000000000002</v>
      </c>
      <c r="Q46" s="2"/>
      <c r="R46" s="14">
        <f t="shared" si="1"/>
        <v>0.30250000000000021</v>
      </c>
      <c r="S46" s="14">
        <f>(R46/O46)*100</f>
        <v>15.835209129456116</v>
      </c>
      <c r="U46" s="14">
        <f t="shared" si="4"/>
        <v>39.722241421487581</v>
      </c>
      <c r="V46" s="14">
        <f t="shared" si="10"/>
        <v>589.28775857851247</v>
      </c>
      <c r="Z46" s="14">
        <f t="shared" si="8"/>
        <v>93.684958677685955</v>
      </c>
    </row>
    <row r="47" spans="1:26" ht="16" x14ac:dyDescent="0.2">
      <c r="A47" t="s">
        <v>29</v>
      </c>
      <c r="B47" s="1">
        <v>37</v>
      </c>
      <c r="C47" s="1">
        <v>2</v>
      </c>
      <c r="D47" s="1" t="s">
        <v>41</v>
      </c>
      <c r="E47" s="1" t="s">
        <v>42</v>
      </c>
      <c r="F47" s="1">
        <v>40</v>
      </c>
      <c r="G47" s="1">
        <v>1</v>
      </c>
      <c r="H47" s="1" t="s">
        <v>32</v>
      </c>
      <c r="I47" s="1" t="s">
        <v>33</v>
      </c>
      <c r="J47" s="1">
        <v>1</v>
      </c>
      <c r="K47" s="1" t="s">
        <v>34</v>
      </c>
      <c r="L47" s="1" t="str">
        <f t="shared" si="11"/>
        <v>37_LAHE_1_A1</v>
      </c>
      <c r="M47" s="1">
        <v>129.1</v>
      </c>
      <c r="N47" s="1">
        <v>1.2584</v>
      </c>
      <c r="O47" s="1">
        <v>2.1261000000000001</v>
      </c>
      <c r="P47" s="1">
        <v>3.2509000000000001</v>
      </c>
      <c r="Q47" s="1"/>
      <c r="R47" s="14">
        <f t="shared" si="1"/>
        <v>0.13359999999999994</v>
      </c>
      <c r="S47" s="14">
        <f t="shared" si="2"/>
        <v>6.2838060298198553</v>
      </c>
      <c r="U47" s="14">
        <f t="shared" si="4"/>
        <v>20.544873502994019</v>
      </c>
      <c r="V47" s="14">
        <f t="shared" si="10"/>
        <v>108.55512649700597</v>
      </c>
      <c r="Z47" s="14">
        <f t="shared" si="8"/>
        <v>84.086077844311376</v>
      </c>
    </row>
    <row r="48" spans="1:26" ht="16" x14ac:dyDescent="0.2">
      <c r="A48" t="s">
        <v>29</v>
      </c>
      <c r="B48" s="2">
        <v>38</v>
      </c>
      <c r="C48" s="2">
        <v>2</v>
      </c>
      <c r="D48" s="2" t="s">
        <v>41</v>
      </c>
      <c r="E48" s="2" t="s">
        <v>42</v>
      </c>
      <c r="F48" s="2">
        <v>40</v>
      </c>
      <c r="G48" s="2">
        <v>1</v>
      </c>
      <c r="H48" s="2" t="s">
        <v>32</v>
      </c>
      <c r="I48" s="2" t="s">
        <v>33</v>
      </c>
      <c r="J48" s="2">
        <v>2</v>
      </c>
      <c r="K48" s="3" t="s">
        <v>35</v>
      </c>
      <c r="L48" s="2" t="str">
        <f t="shared" si="11"/>
        <v>38_LAHE_1_A2</v>
      </c>
      <c r="M48" s="2">
        <v>118.9</v>
      </c>
      <c r="N48" s="2">
        <v>1.2601</v>
      </c>
      <c r="O48" s="2">
        <v>2.0316000000000001</v>
      </c>
      <c r="P48" s="2">
        <v>3.1465000000000001</v>
      </c>
      <c r="Q48" s="2"/>
      <c r="R48" s="14">
        <f t="shared" si="1"/>
        <v>0.1452</v>
      </c>
      <c r="S48" s="14">
        <f t="shared" si="2"/>
        <v>7.1470761961015938</v>
      </c>
      <c r="U48" s="14">
        <f t="shared" si="4"/>
        <v>16.636173553719011</v>
      </c>
      <c r="V48" s="14">
        <f t="shared" si="10"/>
        <v>102.263826446281</v>
      </c>
      <c r="Z48" s="14">
        <f t="shared" si="8"/>
        <v>86.008264462809919</v>
      </c>
    </row>
    <row r="49" spans="1:26" ht="16" x14ac:dyDescent="0.2">
      <c r="A49" t="s">
        <v>29</v>
      </c>
      <c r="B49" s="1">
        <v>39</v>
      </c>
      <c r="C49" s="1">
        <v>2</v>
      </c>
      <c r="D49" s="1" t="s">
        <v>41</v>
      </c>
      <c r="E49" s="1" t="s">
        <v>42</v>
      </c>
      <c r="F49" s="1">
        <v>40</v>
      </c>
      <c r="G49" s="1">
        <v>1</v>
      </c>
      <c r="H49" s="1" t="s">
        <v>32</v>
      </c>
      <c r="I49" s="1" t="s">
        <v>33</v>
      </c>
      <c r="J49" s="1">
        <v>3</v>
      </c>
      <c r="K49" s="1" t="s">
        <v>36</v>
      </c>
      <c r="L49" s="1" t="str">
        <f t="shared" si="11"/>
        <v>39_LAHE_1_A3</v>
      </c>
      <c r="M49" s="1">
        <v>121.05</v>
      </c>
      <c r="N49" s="1">
        <v>1.2605</v>
      </c>
      <c r="O49" s="1">
        <v>2.2938000000000001</v>
      </c>
      <c r="P49" s="1">
        <v>3.3769</v>
      </c>
      <c r="Q49" s="1"/>
      <c r="R49" s="14">
        <f t="shared" si="1"/>
        <v>0.1774</v>
      </c>
      <c r="S49" s="14">
        <f t="shared" si="2"/>
        <v>7.7338913593164182</v>
      </c>
      <c r="U49" s="14">
        <f t="shared" si="4"/>
        <v>15.651887824126268</v>
      </c>
      <c r="V49" s="14">
        <f t="shared" si="10"/>
        <v>105.39811217587373</v>
      </c>
      <c r="Z49" s="14">
        <f t="shared" si="8"/>
        <v>87.069898534385572</v>
      </c>
    </row>
    <row r="50" spans="1:26" ht="16" x14ac:dyDescent="0.2">
      <c r="A50" t="s">
        <v>29</v>
      </c>
      <c r="B50" s="2">
        <v>40</v>
      </c>
      <c r="C50" s="2">
        <v>2</v>
      </c>
      <c r="D50" s="2" t="s">
        <v>41</v>
      </c>
      <c r="E50" s="2" t="s">
        <v>42</v>
      </c>
      <c r="F50" s="2">
        <v>40</v>
      </c>
      <c r="G50" s="2">
        <v>1</v>
      </c>
      <c r="H50" s="2" t="s">
        <v>32</v>
      </c>
      <c r="I50" s="2" t="s">
        <v>33</v>
      </c>
      <c r="J50" s="2">
        <v>4</v>
      </c>
      <c r="K50" s="3" t="s">
        <v>37</v>
      </c>
      <c r="L50" s="2" t="str">
        <f t="shared" si="11"/>
        <v>40_LAHE_1_A4</v>
      </c>
      <c r="M50" s="2">
        <v>103.07</v>
      </c>
      <c r="N50" s="2">
        <v>1.2609999999999999</v>
      </c>
      <c r="O50" s="2">
        <v>2.6030000000000002</v>
      </c>
      <c r="P50" s="2">
        <v>3.6150000000000002</v>
      </c>
      <c r="Q50" s="2"/>
      <c r="R50" s="14">
        <f t="shared" si="1"/>
        <v>0.24899999999999967</v>
      </c>
      <c r="S50" s="14">
        <f t="shared" si="2"/>
        <v>9.5658855167114734</v>
      </c>
      <c r="U50" s="14">
        <f t="shared" si="4"/>
        <v>10.774747389558247</v>
      </c>
      <c r="V50" s="14">
        <f t="shared" si="10"/>
        <v>92.29525261044175</v>
      </c>
      <c r="Z50" s="14">
        <f t="shared" si="8"/>
        <v>89.546184738955816</v>
      </c>
    </row>
    <row r="51" spans="1:26" ht="16" x14ac:dyDescent="0.2">
      <c r="A51" t="s">
        <v>29</v>
      </c>
      <c r="B51" s="1">
        <v>41</v>
      </c>
      <c r="C51" s="1">
        <v>2</v>
      </c>
      <c r="D51" s="1" t="s">
        <v>41</v>
      </c>
      <c r="E51" s="1" t="s">
        <v>42</v>
      </c>
      <c r="F51" s="1">
        <v>40</v>
      </c>
      <c r="G51" s="1">
        <v>1</v>
      </c>
      <c r="H51" s="1" t="s">
        <v>32</v>
      </c>
      <c r="I51" s="1" t="s">
        <v>33</v>
      </c>
      <c r="J51" s="1">
        <v>5</v>
      </c>
      <c r="K51" s="1" t="s">
        <v>38</v>
      </c>
      <c r="L51" s="1" t="str">
        <f t="shared" si="11"/>
        <v>41_LAHE_1_A5</v>
      </c>
      <c r="M51" s="1">
        <v>158.07</v>
      </c>
      <c r="N51" s="1">
        <v>1.2609999999999999</v>
      </c>
      <c r="O51" s="1">
        <v>2.3416000000000001</v>
      </c>
      <c r="P51" s="1">
        <v>3.4214000000000002</v>
      </c>
      <c r="Q51" s="1"/>
      <c r="R51" s="14">
        <f t="shared" si="1"/>
        <v>0.18119999999999958</v>
      </c>
      <c r="S51" s="14">
        <f t="shared" si="2"/>
        <v>7.7382985992483597</v>
      </c>
      <c r="U51" s="14">
        <f t="shared" si="4"/>
        <v>20.426970860927199</v>
      </c>
      <c r="V51" s="14">
        <f t="shared" si="10"/>
        <v>137.64302913907278</v>
      </c>
      <c r="Z51" s="14">
        <f t="shared" si="8"/>
        <v>87.077262693156698</v>
      </c>
    </row>
    <row r="52" spans="1:26" ht="16" x14ac:dyDescent="0.2">
      <c r="A52" t="s">
        <v>29</v>
      </c>
      <c r="B52" s="2">
        <v>42</v>
      </c>
      <c r="C52" s="2">
        <v>2</v>
      </c>
      <c r="D52" s="2" t="s">
        <v>41</v>
      </c>
      <c r="E52" s="2" t="s">
        <v>42</v>
      </c>
      <c r="F52" s="2">
        <v>40</v>
      </c>
      <c r="G52" s="2">
        <v>1</v>
      </c>
      <c r="H52" s="2" t="s">
        <v>32</v>
      </c>
      <c r="I52" s="2" t="s">
        <v>33</v>
      </c>
      <c r="J52" s="2">
        <v>6</v>
      </c>
      <c r="K52" s="3" t="s">
        <v>39</v>
      </c>
      <c r="L52" s="2" t="str">
        <f t="shared" si="11"/>
        <v>42_LAHE_1_A6</v>
      </c>
      <c r="M52" s="2">
        <v>559.9</v>
      </c>
      <c r="N52" s="2">
        <v>1.2576000000000001</v>
      </c>
      <c r="O52" s="2">
        <v>2.1576</v>
      </c>
      <c r="P52" s="2">
        <v>3.2462</v>
      </c>
      <c r="Q52" s="2"/>
      <c r="R52" s="14">
        <f t="shared" si="1"/>
        <v>0.16900000000000004</v>
      </c>
      <c r="S52" s="14">
        <f t="shared" si="2"/>
        <v>7.832777159807196</v>
      </c>
      <c r="U52" s="14">
        <f t="shared" si="4"/>
        <v>71.481671005917136</v>
      </c>
      <c r="V52" s="14">
        <f t="shared" si="10"/>
        <v>488.41832899408286</v>
      </c>
      <c r="Z52" s="14">
        <f t="shared" si="8"/>
        <v>87.233136094674563</v>
      </c>
    </row>
    <row r="53" spans="1:26" ht="16" x14ac:dyDescent="0.2">
      <c r="A53" t="s">
        <v>29</v>
      </c>
      <c r="B53" s="1">
        <v>43</v>
      </c>
      <c r="C53" s="1">
        <v>2</v>
      </c>
      <c r="D53" s="1" t="s">
        <v>41</v>
      </c>
      <c r="E53" s="1" t="s">
        <v>42</v>
      </c>
      <c r="F53" s="1">
        <v>40</v>
      </c>
      <c r="G53" s="1">
        <v>2</v>
      </c>
      <c r="H53" s="1" t="s">
        <v>32</v>
      </c>
      <c r="I53" s="1" t="s">
        <v>33</v>
      </c>
      <c r="J53" s="1">
        <v>1</v>
      </c>
      <c r="K53" s="1" t="s">
        <v>34</v>
      </c>
      <c r="L53" s="1" t="str">
        <f t="shared" si="11"/>
        <v>43_LAHE_2_A1</v>
      </c>
      <c r="M53" s="1">
        <v>86.62</v>
      </c>
      <c r="N53" s="1">
        <v>1.2685</v>
      </c>
      <c r="O53" s="1">
        <v>2.9420999999999999</v>
      </c>
      <c r="P53" s="1">
        <v>4.0928000000000004</v>
      </c>
      <c r="Q53" s="1"/>
      <c r="R53" s="14">
        <f t="shared" si="1"/>
        <v>0.11779999999999902</v>
      </c>
      <c r="S53" s="14">
        <f t="shared" si="2"/>
        <v>4.0039427619727075</v>
      </c>
      <c r="U53" s="14">
        <f t="shared" si="4"/>
        <v>21.633675891341436</v>
      </c>
      <c r="V53" s="14">
        <f t="shared" si="10"/>
        <v>64.986324108658565</v>
      </c>
      <c r="Z53" s="14">
        <f t="shared" si="8"/>
        <v>75.024617996604206</v>
      </c>
    </row>
    <row r="54" spans="1:26" ht="16" x14ac:dyDescent="0.2">
      <c r="A54" t="s">
        <v>29</v>
      </c>
      <c r="B54" s="2">
        <v>44</v>
      </c>
      <c r="C54" s="2">
        <v>2</v>
      </c>
      <c r="D54" s="2" t="s">
        <v>41</v>
      </c>
      <c r="E54" s="2" t="s">
        <v>42</v>
      </c>
      <c r="F54" s="2">
        <v>40</v>
      </c>
      <c r="G54" s="2">
        <v>2</v>
      </c>
      <c r="H54" s="2" t="s">
        <v>32</v>
      </c>
      <c r="I54" s="2" t="s">
        <v>33</v>
      </c>
      <c r="J54" s="2">
        <v>2</v>
      </c>
      <c r="K54" s="3" t="s">
        <v>35</v>
      </c>
      <c r="L54" s="2" t="str">
        <f t="shared" si="11"/>
        <v>44_LAHE_2_A2</v>
      </c>
      <c r="M54" s="2">
        <v>140.16</v>
      </c>
      <c r="N54" s="2">
        <v>1.2627999999999999</v>
      </c>
      <c r="O54" s="2">
        <v>2.464</v>
      </c>
      <c r="P54" s="2">
        <v>3.536</v>
      </c>
      <c r="Q54" s="2"/>
      <c r="R54" s="14">
        <f t="shared" si="1"/>
        <v>0.19079999999999986</v>
      </c>
      <c r="S54" s="14">
        <f t="shared" si="2"/>
        <v>7.7435064935064881</v>
      </c>
      <c r="U54" s="14">
        <f t="shared" si="4"/>
        <v>18.100327044025171</v>
      </c>
      <c r="V54" s="14">
        <f t="shared" si="10"/>
        <v>122.05967295597483</v>
      </c>
      <c r="Z54" s="14">
        <f t="shared" si="8"/>
        <v>87.085953878406713</v>
      </c>
    </row>
    <row r="55" spans="1:26" ht="16" x14ac:dyDescent="0.2">
      <c r="A55" t="s">
        <v>29</v>
      </c>
      <c r="B55" s="1">
        <v>45</v>
      </c>
      <c r="C55" s="1">
        <v>2</v>
      </c>
      <c r="D55" s="1" t="s">
        <v>41</v>
      </c>
      <c r="E55" s="1" t="s">
        <v>42</v>
      </c>
      <c r="F55" s="1">
        <v>40</v>
      </c>
      <c r="G55" s="1">
        <v>2</v>
      </c>
      <c r="H55" s="1" t="s">
        <v>32</v>
      </c>
      <c r="I55" s="1" t="s">
        <v>33</v>
      </c>
      <c r="J55" s="1">
        <v>3</v>
      </c>
      <c r="K55" s="1" t="s">
        <v>36</v>
      </c>
      <c r="L55" s="1" t="str">
        <f t="shared" si="11"/>
        <v>45_LAHE_2_A3</v>
      </c>
      <c r="M55" s="1">
        <v>150.33000000000001</v>
      </c>
      <c r="N55" s="1">
        <v>1.268</v>
      </c>
      <c r="O55" s="1">
        <v>2.4203999999999999</v>
      </c>
      <c r="P55" s="1">
        <v>3.5002</v>
      </c>
      <c r="Q55" s="1"/>
      <c r="R55" s="14">
        <f t="shared" si="1"/>
        <v>0.1881999999999997</v>
      </c>
      <c r="S55" s="14">
        <f t="shared" si="2"/>
        <v>7.7755742852420973</v>
      </c>
      <c r="U55" s="14">
        <f t="shared" si="4"/>
        <v>19.333620191285895</v>
      </c>
      <c r="V55" s="14">
        <f t="shared" si="10"/>
        <v>130.99637980871412</v>
      </c>
      <c r="Z55" s="14">
        <f t="shared" si="8"/>
        <v>87.13921360255047</v>
      </c>
    </row>
    <row r="56" spans="1:26" ht="16" x14ac:dyDescent="0.2">
      <c r="A56" t="s">
        <v>29</v>
      </c>
      <c r="B56" s="2">
        <v>46</v>
      </c>
      <c r="C56" s="2">
        <v>2</v>
      </c>
      <c r="D56" s="2" t="s">
        <v>41</v>
      </c>
      <c r="E56" s="2" t="s">
        <v>42</v>
      </c>
      <c r="F56" s="2">
        <v>40</v>
      </c>
      <c r="G56" s="2">
        <v>2</v>
      </c>
      <c r="H56" s="2" t="s">
        <v>32</v>
      </c>
      <c r="I56" s="2" t="s">
        <v>33</v>
      </c>
      <c r="J56" s="2">
        <v>4</v>
      </c>
      <c r="K56" s="3" t="s">
        <v>37</v>
      </c>
      <c r="L56" s="2" t="str">
        <f t="shared" si="11"/>
        <v>46_LAHE_2_A4</v>
      </c>
      <c r="M56" s="2">
        <v>146.44999999999999</v>
      </c>
      <c r="N56" s="2">
        <v>1.2672000000000001</v>
      </c>
      <c r="O56" s="2">
        <v>2.4180000000000001</v>
      </c>
      <c r="P56" s="2">
        <v>3.5026000000000002</v>
      </c>
      <c r="Q56" s="2"/>
      <c r="R56" s="14">
        <f t="shared" si="1"/>
        <v>0.18259999999999987</v>
      </c>
      <c r="S56" s="14">
        <f t="shared" si="2"/>
        <v>7.5516956162117399</v>
      </c>
      <c r="U56" s="14">
        <f t="shared" si="4"/>
        <v>19.392995618839006</v>
      </c>
      <c r="V56" s="14">
        <f t="shared" si="10"/>
        <v>127.05700438116098</v>
      </c>
      <c r="Z56" s="14">
        <f t="shared" si="8"/>
        <v>86.757940854326392</v>
      </c>
    </row>
    <row r="57" spans="1:26" ht="16" x14ac:dyDescent="0.2">
      <c r="A57" t="s">
        <v>29</v>
      </c>
      <c r="B57" s="1">
        <v>47</v>
      </c>
      <c r="C57" s="1">
        <v>2</v>
      </c>
      <c r="D57" s="1" t="s">
        <v>41</v>
      </c>
      <c r="E57" s="1" t="s">
        <v>42</v>
      </c>
      <c r="F57" s="1">
        <v>40</v>
      </c>
      <c r="G57" s="1">
        <v>2</v>
      </c>
      <c r="H57" s="1" t="s">
        <v>32</v>
      </c>
      <c r="I57" s="1" t="s">
        <v>33</v>
      </c>
      <c r="J57" s="1">
        <v>5</v>
      </c>
      <c r="K57" s="1" t="s">
        <v>38</v>
      </c>
      <c r="L57" s="1" t="str">
        <f t="shared" si="11"/>
        <v>47_LAHE_2_A5</v>
      </c>
      <c r="M57" s="1">
        <v>145.91999999999999</v>
      </c>
      <c r="N57" s="1">
        <v>1.27</v>
      </c>
      <c r="O57" s="1">
        <v>2.2536999999999998</v>
      </c>
      <c r="P57" s="1">
        <v>3.5099</v>
      </c>
      <c r="Q57" s="1"/>
      <c r="R57" s="14">
        <f>(N57+O57)-P57</f>
        <v>1.3799999999999812E-2</v>
      </c>
      <c r="S57" s="14">
        <f t="shared" si="2"/>
        <v>0.61232639659226229</v>
      </c>
      <c r="U57" s="14">
        <f t="shared" si="4"/>
        <v>238.30427826087274</v>
      </c>
      <c r="V57" s="14">
        <f t="shared" si="10"/>
        <v>-92.384278260872748</v>
      </c>
      <c r="Z57" s="14">
        <f t="shared" si="8"/>
        <v>-63.311594202900736</v>
      </c>
    </row>
    <row r="58" spans="1:26" ht="16" x14ac:dyDescent="0.2">
      <c r="A58" t="s">
        <v>29</v>
      </c>
      <c r="B58" s="2">
        <v>48</v>
      </c>
      <c r="C58" s="2">
        <v>2</v>
      </c>
      <c r="D58" s="2" t="s">
        <v>41</v>
      </c>
      <c r="E58" s="2" t="s">
        <v>42</v>
      </c>
      <c r="F58" s="2">
        <v>40</v>
      </c>
      <c r="G58" s="2">
        <v>2</v>
      </c>
      <c r="H58" s="2" t="s">
        <v>32</v>
      </c>
      <c r="I58" s="2" t="s">
        <v>33</v>
      </c>
      <c r="J58" s="2">
        <v>6</v>
      </c>
      <c r="K58" s="3" t="s">
        <v>39</v>
      </c>
      <c r="L58" s="2" t="str">
        <f t="shared" si="11"/>
        <v>48_LAHE_2_A6</v>
      </c>
      <c r="M58" s="2">
        <v>677.61</v>
      </c>
      <c r="N58" s="2">
        <v>1.2714000000000001</v>
      </c>
      <c r="O58" s="2">
        <v>2.3835999999999999</v>
      </c>
      <c r="P58" s="2">
        <v>3.4460000000000002</v>
      </c>
      <c r="Q58" s="2"/>
      <c r="R58" s="14">
        <f t="shared" si="1"/>
        <v>0.20900000000000007</v>
      </c>
      <c r="S58" s="14">
        <f t="shared" si="2"/>
        <v>8.7682497063265679</v>
      </c>
      <c r="U58" s="14">
        <f t="shared" si="4"/>
        <v>77.279961531100454</v>
      </c>
      <c r="V58" s="14">
        <f t="shared" si="10"/>
        <v>600.3300384688996</v>
      </c>
      <c r="Z58" s="14">
        <f t="shared" si="8"/>
        <v>88.595215311004793</v>
      </c>
    </row>
    <row r="59" spans="1:26" ht="16" x14ac:dyDescent="0.2">
      <c r="A59" t="s">
        <v>29</v>
      </c>
      <c r="B59" s="1">
        <v>49</v>
      </c>
      <c r="C59" s="1">
        <v>2</v>
      </c>
      <c r="D59" s="1" t="s">
        <v>41</v>
      </c>
      <c r="E59" s="1" t="s">
        <v>42</v>
      </c>
      <c r="F59" s="1">
        <v>40</v>
      </c>
      <c r="G59" s="1">
        <v>3</v>
      </c>
      <c r="H59" s="1" t="s">
        <v>32</v>
      </c>
      <c r="I59" s="1" t="s">
        <v>33</v>
      </c>
      <c r="J59" s="1">
        <v>1</v>
      </c>
      <c r="K59" s="1" t="s">
        <v>34</v>
      </c>
      <c r="L59" s="1" t="str">
        <f t="shared" si="11"/>
        <v>49_LAHE_3_A1</v>
      </c>
      <c r="M59" s="1">
        <v>82.85</v>
      </c>
      <c r="N59" s="1">
        <v>1.2712000000000001</v>
      </c>
      <c r="O59" s="1">
        <v>2.1454</v>
      </c>
      <c r="P59" s="1">
        <v>3.383</v>
      </c>
      <c r="Q59" s="1"/>
      <c r="R59" s="14">
        <f t="shared" si="1"/>
        <v>3.3599999999999852E-2</v>
      </c>
      <c r="S59" s="14">
        <f t="shared" si="2"/>
        <v>1.5661415120723339</v>
      </c>
      <c r="U59" s="14">
        <f t="shared" si="4"/>
        <v>52.900711309524041</v>
      </c>
      <c r="V59" s="14">
        <f t="shared" si="10"/>
        <v>29.949288690475953</v>
      </c>
      <c r="Z59" s="14">
        <f t="shared" si="8"/>
        <v>36.148809523809241</v>
      </c>
    </row>
    <row r="60" spans="1:26" ht="16" x14ac:dyDescent="0.2">
      <c r="A60" t="s">
        <v>29</v>
      </c>
      <c r="B60" s="2">
        <v>50</v>
      </c>
      <c r="C60" s="2">
        <v>2</v>
      </c>
      <c r="D60" s="2" t="s">
        <v>41</v>
      </c>
      <c r="E60" s="2" t="s">
        <v>42</v>
      </c>
      <c r="F60" s="2">
        <v>40</v>
      </c>
      <c r="G60" s="2">
        <v>3</v>
      </c>
      <c r="H60" s="2" t="s">
        <v>32</v>
      </c>
      <c r="I60" s="2" t="s">
        <v>33</v>
      </c>
      <c r="J60" s="2">
        <v>2</v>
      </c>
      <c r="K60" s="3" t="s">
        <v>35</v>
      </c>
      <c r="L60" s="2" t="str">
        <f t="shared" si="11"/>
        <v>50_LAHE_3_A2</v>
      </c>
      <c r="M60" s="2">
        <v>117.22</v>
      </c>
      <c r="N60" s="2">
        <v>1.2606999999999999</v>
      </c>
      <c r="O60" s="2">
        <v>2.2345999999999999</v>
      </c>
      <c r="P60" s="2">
        <v>3.4211999999999998</v>
      </c>
      <c r="Q60" s="2"/>
      <c r="R60" s="14">
        <f t="shared" si="1"/>
        <v>7.4100000000000055E-2</v>
      </c>
      <c r="S60" s="14">
        <f t="shared" si="2"/>
        <v>3.3160297144902913</v>
      </c>
      <c r="U60" s="14">
        <f t="shared" si="4"/>
        <v>35.349502294197009</v>
      </c>
      <c r="V60" s="14">
        <f t="shared" si="10"/>
        <v>81.87049770580299</v>
      </c>
      <c r="Z60" s="14">
        <f t="shared" si="8"/>
        <v>69.84345479082323</v>
      </c>
    </row>
    <row r="61" spans="1:26" ht="16" x14ac:dyDescent="0.2">
      <c r="A61" t="s">
        <v>29</v>
      </c>
      <c r="B61" s="1">
        <v>51</v>
      </c>
      <c r="C61" s="1">
        <v>2</v>
      </c>
      <c r="D61" s="1" t="s">
        <v>41</v>
      </c>
      <c r="E61" s="1" t="s">
        <v>42</v>
      </c>
      <c r="F61" s="1">
        <v>40</v>
      </c>
      <c r="G61" s="1">
        <v>3</v>
      </c>
      <c r="H61" s="1" t="s">
        <v>32</v>
      </c>
      <c r="I61" s="1" t="s">
        <v>33</v>
      </c>
      <c r="J61" s="1">
        <v>3</v>
      </c>
      <c r="K61" s="1" t="s">
        <v>36</v>
      </c>
      <c r="L61" s="1" t="str">
        <f t="shared" si="11"/>
        <v>51_LAHE_3_A3</v>
      </c>
      <c r="M61" s="1">
        <v>120.62</v>
      </c>
      <c r="N61" s="1">
        <v>1.2674000000000001</v>
      </c>
      <c r="O61" s="1">
        <v>2.3210000000000002</v>
      </c>
      <c r="P61" s="1">
        <v>3.4933000000000001</v>
      </c>
      <c r="Q61" s="1"/>
      <c r="R61" s="14">
        <f t="shared" si="1"/>
        <v>9.5099999999999962E-2</v>
      </c>
      <c r="S61" s="14">
        <f t="shared" si="2"/>
        <v>4.0973718224903042</v>
      </c>
      <c r="U61" s="14">
        <f t="shared" si="4"/>
        <v>29.438382754994755</v>
      </c>
      <c r="V61" s="14">
        <f t="shared" si="10"/>
        <v>91.181617245005242</v>
      </c>
      <c r="Z61" s="14">
        <f t="shared" si="8"/>
        <v>75.594111461619335</v>
      </c>
    </row>
    <row r="62" spans="1:26" ht="16" x14ac:dyDescent="0.2">
      <c r="A62" t="s">
        <v>29</v>
      </c>
      <c r="B62" s="2">
        <v>52</v>
      </c>
      <c r="C62" s="2">
        <v>2</v>
      </c>
      <c r="D62" s="2" t="s">
        <v>41</v>
      </c>
      <c r="E62" s="2" t="s">
        <v>42</v>
      </c>
      <c r="F62" s="2">
        <v>40</v>
      </c>
      <c r="G62" s="2">
        <v>3</v>
      </c>
      <c r="H62" s="2" t="s">
        <v>32</v>
      </c>
      <c r="I62" s="2" t="s">
        <v>33</v>
      </c>
      <c r="J62" s="2">
        <v>4</v>
      </c>
      <c r="K62" s="3" t="s">
        <v>37</v>
      </c>
      <c r="L62" s="2" t="str">
        <f t="shared" si="11"/>
        <v>52_LAHE_3_A4</v>
      </c>
      <c r="M62" s="2">
        <v>135.19999999999999</v>
      </c>
      <c r="N62" s="2">
        <v>1.2605999999999999</v>
      </c>
      <c r="O62" s="2">
        <v>2.2505000000000002</v>
      </c>
      <c r="P62" s="2">
        <v>3.4123000000000001</v>
      </c>
      <c r="Q62" s="2"/>
      <c r="R62" s="14">
        <f t="shared" si="1"/>
        <v>9.8799999999999777E-2</v>
      </c>
      <c r="S62" s="14">
        <f t="shared" si="2"/>
        <v>4.3901355254387813</v>
      </c>
      <c r="U62" s="14">
        <f t="shared" si="4"/>
        <v>30.796315789473752</v>
      </c>
      <c r="V62" s="14">
        <f t="shared" si="10"/>
        <v>104.40368421052624</v>
      </c>
      <c r="Z62" s="14">
        <f t="shared" si="8"/>
        <v>77.221659919028284</v>
      </c>
    </row>
    <row r="63" spans="1:26" ht="16" x14ac:dyDescent="0.2">
      <c r="A63" t="s">
        <v>29</v>
      </c>
      <c r="B63" s="1">
        <v>53</v>
      </c>
      <c r="C63" s="1">
        <v>2</v>
      </c>
      <c r="D63" s="1" t="s">
        <v>41</v>
      </c>
      <c r="E63" s="1" t="s">
        <v>42</v>
      </c>
      <c r="F63" s="1">
        <v>40</v>
      </c>
      <c r="G63" s="1">
        <v>3</v>
      </c>
      <c r="H63" s="1" t="s">
        <v>32</v>
      </c>
      <c r="I63" s="1" t="s">
        <v>33</v>
      </c>
      <c r="J63" s="1">
        <v>5</v>
      </c>
      <c r="K63" s="1" t="s">
        <v>38</v>
      </c>
      <c r="L63" s="1" t="str">
        <f t="shared" si="11"/>
        <v>53_LAHE_3_A5</v>
      </c>
      <c r="M63" s="1">
        <v>133.19999999999999</v>
      </c>
      <c r="N63" s="1">
        <v>1.2694000000000001</v>
      </c>
      <c r="O63" s="1">
        <v>2.0916999999999999</v>
      </c>
      <c r="P63" s="1">
        <v>3.258</v>
      </c>
      <c r="Q63" s="1"/>
      <c r="R63" s="14">
        <f t="shared" si="1"/>
        <v>0.10309999999999997</v>
      </c>
      <c r="S63" s="14">
        <f t="shared" si="2"/>
        <v>4.9290051154563264</v>
      </c>
      <c r="U63" s="14">
        <f t="shared" si="4"/>
        <v>27.023709020368578</v>
      </c>
      <c r="V63" s="14">
        <f t="shared" si="10"/>
        <v>106.1762909796314</v>
      </c>
      <c r="Z63" s="14">
        <f t="shared" si="8"/>
        <v>79.711930164888443</v>
      </c>
    </row>
    <row r="64" spans="1:26" ht="16" x14ac:dyDescent="0.2">
      <c r="A64" t="s">
        <v>29</v>
      </c>
      <c r="B64" s="2">
        <v>54</v>
      </c>
      <c r="C64" s="2">
        <v>2</v>
      </c>
      <c r="D64" s="2" t="s">
        <v>41</v>
      </c>
      <c r="E64" s="2" t="s">
        <v>42</v>
      </c>
      <c r="F64" s="2">
        <v>40</v>
      </c>
      <c r="G64" s="2">
        <v>3</v>
      </c>
      <c r="H64" s="2" t="s">
        <v>32</v>
      </c>
      <c r="I64" s="2" t="s">
        <v>33</v>
      </c>
      <c r="J64" s="2">
        <v>6</v>
      </c>
      <c r="K64" s="3" t="s">
        <v>39</v>
      </c>
      <c r="L64" s="2" t="str">
        <f t="shared" si="11"/>
        <v>54_LAHE_3_A6</v>
      </c>
      <c r="M64" s="2">
        <v>716.93</v>
      </c>
      <c r="N64" s="2">
        <v>1.2591000000000001</v>
      </c>
      <c r="O64" s="2">
        <v>2.1968999999999999</v>
      </c>
      <c r="P64" s="2">
        <v>3.1654</v>
      </c>
      <c r="Q64" s="2"/>
      <c r="R64" s="14">
        <f t="shared" si="1"/>
        <v>0.29059999999999997</v>
      </c>
      <c r="S64" s="14">
        <f t="shared" si="2"/>
        <v>13.227729983158085</v>
      </c>
      <c r="U64" s="14">
        <f t="shared" si="4"/>
        <v>54.199019855471441</v>
      </c>
      <c r="V64" s="14">
        <f t="shared" si="10"/>
        <v>662.73098014452853</v>
      </c>
      <c r="Z64" s="14">
        <f t="shared" si="8"/>
        <v>92.440123881624231</v>
      </c>
    </row>
    <row r="65" spans="1:26" ht="16" x14ac:dyDescent="0.2">
      <c r="A65" t="s">
        <v>29</v>
      </c>
      <c r="B65" s="1">
        <v>55</v>
      </c>
      <c r="C65" s="1">
        <v>2</v>
      </c>
      <c r="D65" s="1" t="s">
        <v>41</v>
      </c>
      <c r="E65" s="1" t="s">
        <v>42</v>
      </c>
      <c r="F65" s="1">
        <v>40</v>
      </c>
      <c r="G65" s="1">
        <v>4</v>
      </c>
      <c r="H65" s="1" t="s">
        <v>32</v>
      </c>
      <c r="I65" s="1" t="s">
        <v>33</v>
      </c>
      <c r="J65" s="1">
        <v>1</v>
      </c>
      <c r="K65" s="1" t="s">
        <v>34</v>
      </c>
      <c r="L65" s="1" t="str">
        <f t="shared" si="11"/>
        <v>55_LAHE_4_A1</v>
      </c>
      <c r="M65" s="1">
        <v>80.88</v>
      </c>
      <c r="N65" s="1">
        <v>1.268</v>
      </c>
      <c r="O65" s="1">
        <v>2.5162</v>
      </c>
      <c r="P65" s="1">
        <v>3.5907</v>
      </c>
      <c r="Q65" s="1"/>
      <c r="R65" s="14">
        <f t="shared" si="1"/>
        <v>0.19350000000000023</v>
      </c>
      <c r="S65" s="14">
        <f t="shared" si="2"/>
        <v>7.6901677132183544</v>
      </c>
      <c r="U65" s="14">
        <f t="shared" si="4"/>
        <v>10.517325891472854</v>
      </c>
      <c r="V65" s="14">
        <f t="shared" si="10"/>
        <v>70.362674108527145</v>
      </c>
      <c r="Z65" s="14">
        <f t="shared" si="8"/>
        <v>86.996382428940592</v>
      </c>
    </row>
    <row r="66" spans="1:26" ht="16" x14ac:dyDescent="0.2">
      <c r="A66" t="s">
        <v>29</v>
      </c>
      <c r="B66" s="2">
        <v>56</v>
      </c>
      <c r="C66" s="2">
        <v>2</v>
      </c>
      <c r="D66" s="2" t="s">
        <v>41</v>
      </c>
      <c r="E66" s="2" t="s">
        <v>42</v>
      </c>
      <c r="F66" s="2">
        <v>40</v>
      </c>
      <c r="G66" s="2">
        <v>4</v>
      </c>
      <c r="H66" s="2" t="s">
        <v>32</v>
      </c>
      <c r="I66" s="2" t="s">
        <v>33</v>
      </c>
      <c r="J66" s="2">
        <v>2</v>
      </c>
      <c r="K66" s="3" t="s">
        <v>35</v>
      </c>
      <c r="L66" s="2" t="str">
        <f t="shared" si="11"/>
        <v>56_LAHE_4_A2</v>
      </c>
      <c r="M66" s="2">
        <v>140.81</v>
      </c>
      <c r="N66" s="2">
        <v>1.2663</v>
      </c>
      <c r="O66" s="2">
        <v>2.323</v>
      </c>
      <c r="P66" s="2">
        <v>3.3016000000000001</v>
      </c>
      <c r="Q66" s="2"/>
      <c r="R66" s="14">
        <f t="shared" si="1"/>
        <v>0.28769999999999962</v>
      </c>
      <c r="S66" s="14">
        <f t="shared" si="2"/>
        <v>12.384847180370196</v>
      </c>
      <c r="U66" s="14">
        <f t="shared" si="4"/>
        <v>11.369538755648259</v>
      </c>
      <c r="V66" s="14">
        <f t="shared" si="10"/>
        <v>129.44046124435175</v>
      </c>
      <c r="Z66" s="14">
        <f t="shared" si="8"/>
        <v>91.92561696211331</v>
      </c>
    </row>
    <row r="67" spans="1:26" ht="16" x14ac:dyDescent="0.2">
      <c r="A67" t="s">
        <v>29</v>
      </c>
      <c r="B67" s="1">
        <v>57</v>
      </c>
      <c r="C67" s="1">
        <v>2</v>
      </c>
      <c r="D67" s="1" t="s">
        <v>41</v>
      </c>
      <c r="E67" s="1" t="s">
        <v>42</v>
      </c>
      <c r="F67" s="1">
        <v>40</v>
      </c>
      <c r="G67" s="1">
        <v>4</v>
      </c>
      <c r="H67" s="1" t="s">
        <v>32</v>
      </c>
      <c r="I67" s="1" t="s">
        <v>33</v>
      </c>
      <c r="J67" s="1">
        <v>3</v>
      </c>
      <c r="K67" s="1" t="s">
        <v>36</v>
      </c>
      <c r="L67" s="1" t="str">
        <f t="shared" si="11"/>
        <v>57_LAHE_4_A3</v>
      </c>
      <c r="M67" s="1">
        <v>140</v>
      </c>
      <c r="N67" s="1">
        <v>1.2649999999999999</v>
      </c>
      <c r="O67" s="1">
        <v>2.3512</v>
      </c>
      <c r="P67" s="1">
        <v>3.3344</v>
      </c>
      <c r="Q67" s="1"/>
      <c r="R67" s="14">
        <f t="shared" si="1"/>
        <v>0.28180000000000005</v>
      </c>
      <c r="S67" s="14">
        <f t="shared" si="2"/>
        <v>11.985369173188161</v>
      </c>
      <c r="U67" s="14">
        <f t="shared" si="4"/>
        <v>11.680908445706173</v>
      </c>
      <c r="V67" s="14">
        <f t="shared" si="10"/>
        <v>128.31909155429383</v>
      </c>
      <c r="Z67" s="14">
        <f t="shared" si="8"/>
        <v>91.656493967352731</v>
      </c>
    </row>
    <row r="68" spans="1:26" ht="16" x14ac:dyDescent="0.2">
      <c r="A68" t="s">
        <v>29</v>
      </c>
      <c r="B68" s="2">
        <v>58</v>
      </c>
      <c r="C68" s="2">
        <v>2</v>
      </c>
      <c r="D68" s="2" t="s">
        <v>41</v>
      </c>
      <c r="E68" s="2" t="s">
        <v>42</v>
      </c>
      <c r="F68" s="2">
        <v>40</v>
      </c>
      <c r="G68" s="2">
        <v>4</v>
      </c>
      <c r="H68" s="2" t="s">
        <v>32</v>
      </c>
      <c r="I68" s="2" t="s">
        <v>33</v>
      </c>
      <c r="J68" s="2">
        <v>4</v>
      </c>
      <c r="K68" s="3" t="s">
        <v>37</v>
      </c>
      <c r="L68" s="2" t="str">
        <f t="shared" si="11"/>
        <v>58_LAHE_4_A4</v>
      </c>
      <c r="M68" s="2">
        <v>177.64</v>
      </c>
      <c r="N68" s="2">
        <v>1.2717000000000001</v>
      </c>
      <c r="O68" s="2">
        <v>2.3774000000000002</v>
      </c>
      <c r="P68" s="2">
        <v>3.2427000000000001</v>
      </c>
      <c r="Q68" s="2"/>
      <c r="R68" s="14">
        <f t="shared" si="1"/>
        <v>0.40640000000000009</v>
      </c>
      <c r="S68" s="14">
        <f t="shared" si="2"/>
        <v>17.094304702616306</v>
      </c>
      <c r="U68" s="14">
        <f t="shared" si="4"/>
        <v>10.391765157480313</v>
      </c>
      <c r="V68" s="14">
        <f t="shared" si="10"/>
        <v>167.24823484251968</v>
      </c>
      <c r="Z68" s="14">
        <f t="shared" si="8"/>
        <v>94.150098425196845</v>
      </c>
    </row>
    <row r="69" spans="1:26" ht="16" x14ac:dyDescent="0.2">
      <c r="A69" t="s">
        <v>29</v>
      </c>
      <c r="B69" s="1">
        <v>59</v>
      </c>
      <c r="C69" s="1">
        <v>2</v>
      </c>
      <c r="D69" s="1" t="s">
        <v>41</v>
      </c>
      <c r="E69" s="1" t="s">
        <v>42</v>
      </c>
      <c r="F69" s="1">
        <v>40</v>
      </c>
      <c r="G69" s="1">
        <v>4</v>
      </c>
      <c r="H69" s="1" t="s">
        <v>32</v>
      </c>
      <c r="I69" s="1" t="s">
        <v>33</v>
      </c>
      <c r="J69" s="1">
        <v>5</v>
      </c>
      <c r="K69" s="1" t="s">
        <v>38</v>
      </c>
      <c r="L69" s="1" t="str">
        <f t="shared" si="11"/>
        <v>59_LAHE_4_A5</v>
      </c>
      <c r="M69" s="1">
        <v>161.63</v>
      </c>
      <c r="N69" s="1">
        <v>1.2635000000000001</v>
      </c>
      <c r="O69" s="1">
        <v>2.0651999999999999</v>
      </c>
      <c r="P69" s="1">
        <v>3.1093999999999999</v>
      </c>
      <c r="Q69" s="1"/>
      <c r="R69" s="14">
        <f t="shared" si="1"/>
        <v>0.21930000000000005</v>
      </c>
      <c r="S69" s="14">
        <f t="shared" si="2"/>
        <v>10.618826263800118</v>
      </c>
      <c r="U69" s="14">
        <f t="shared" si="4"/>
        <v>15.221079616963062</v>
      </c>
      <c r="V69" s="14">
        <f t="shared" si="10"/>
        <v>146.40892038303693</v>
      </c>
      <c r="Z69" s="14">
        <f t="shared" si="8"/>
        <v>90.582763337893297</v>
      </c>
    </row>
    <row r="70" spans="1:26" ht="16" x14ac:dyDescent="0.2">
      <c r="A70" t="s">
        <v>29</v>
      </c>
      <c r="B70" s="2">
        <v>60</v>
      </c>
      <c r="C70" s="2">
        <v>2</v>
      </c>
      <c r="D70" s="2" t="s">
        <v>41</v>
      </c>
      <c r="E70" s="2" t="s">
        <v>42</v>
      </c>
      <c r="F70" s="2">
        <v>40</v>
      </c>
      <c r="G70" s="2">
        <v>4</v>
      </c>
      <c r="H70" s="2" t="s">
        <v>32</v>
      </c>
      <c r="I70" s="2" t="s">
        <v>33</v>
      </c>
      <c r="J70" s="2">
        <v>6</v>
      </c>
      <c r="K70" s="3" t="s">
        <v>39</v>
      </c>
      <c r="L70" s="2" t="str">
        <f t="shared" si="11"/>
        <v>60_LAHE_4_A6</v>
      </c>
      <c r="M70" s="2">
        <v>827.94</v>
      </c>
      <c r="N70" s="2">
        <v>1.2645</v>
      </c>
      <c r="O70" s="2">
        <v>2.1101999999999999</v>
      </c>
      <c r="P70" s="2">
        <v>3.1808000000000001</v>
      </c>
      <c r="Q70" s="2"/>
      <c r="R70" s="14">
        <f t="shared" si="1"/>
        <v>0.19389999999999974</v>
      </c>
      <c r="S70" s="14">
        <f t="shared" si="2"/>
        <v>9.1887024926547127</v>
      </c>
      <c r="U70" s="14">
        <f t="shared" si="4"/>
        <v>90.104125219185264</v>
      </c>
      <c r="V70" s="14">
        <f t="shared" si="10"/>
        <v>737.83587478081483</v>
      </c>
      <c r="Z70" s="14">
        <f t="shared" si="8"/>
        <v>89.117070654976786</v>
      </c>
    </row>
    <row r="71" spans="1:26" ht="16" x14ac:dyDescent="0.2">
      <c r="A71" t="s">
        <v>29</v>
      </c>
      <c r="B71" s="1">
        <v>61</v>
      </c>
      <c r="C71" s="1">
        <v>2</v>
      </c>
      <c r="D71" s="1" t="s">
        <v>41</v>
      </c>
      <c r="E71" s="1" t="s">
        <v>42</v>
      </c>
      <c r="F71" s="1">
        <v>40</v>
      </c>
      <c r="G71" s="1">
        <v>5</v>
      </c>
      <c r="H71" s="1" t="s">
        <v>32</v>
      </c>
      <c r="I71" s="1" t="s">
        <v>33</v>
      </c>
      <c r="J71" s="1">
        <v>1</v>
      </c>
      <c r="K71" s="1" t="s">
        <v>34</v>
      </c>
      <c r="L71" s="1" t="str">
        <f t="shared" si="11"/>
        <v>61_LAHE_5_A1</v>
      </c>
      <c r="M71" s="1">
        <v>94.3</v>
      </c>
      <c r="N71" s="1">
        <v>1.2641</v>
      </c>
      <c r="O71" s="1">
        <v>2.4279999999999999</v>
      </c>
      <c r="P71" s="1">
        <v>3.4759000000000002</v>
      </c>
      <c r="Q71" s="1"/>
      <c r="R71" s="14">
        <f t="shared" si="1"/>
        <v>0.21619999999999973</v>
      </c>
      <c r="S71" s="14">
        <f t="shared" si="2"/>
        <v>8.9044481054365612</v>
      </c>
      <c r="U71" s="14">
        <f t="shared" si="4"/>
        <v>10.59021276595746</v>
      </c>
      <c r="V71" s="14">
        <f t="shared" si="10"/>
        <v>83.709787234042537</v>
      </c>
      <c r="Z71" s="14">
        <f t="shared" si="8"/>
        <v>88.769657724329306</v>
      </c>
    </row>
    <row r="72" spans="1:26" ht="16" x14ac:dyDescent="0.2">
      <c r="A72" t="s">
        <v>29</v>
      </c>
      <c r="B72" s="2">
        <v>62</v>
      </c>
      <c r="C72" s="2">
        <v>2</v>
      </c>
      <c r="D72" s="2" t="s">
        <v>41</v>
      </c>
      <c r="E72" s="2" t="s">
        <v>42</v>
      </c>
      <c r="F72" s="2">
        <v>40</v>
      </c>
      <c r="G72" s="2">
        <v>5</v>
      </c>
      <c r="H72" s="2" t="s">
        <v>32</v>
      </c>
      <c r="I72" s="2" t="s">
        <v>33</v>
      </c>
      <c r="J72" s="2">
        <v>2</v>
      </c>
      <c r="K72" s="3" t="s">
        <v>35</v>
      </c>
      <c r="L72" s="2" t="str">
        <f t="shared" si="11"/>
        <v>62_LAHE_5_A2</v>
      </c>
      <c r="M72" s="2">
        <v>122.85</v>
      </c>
      <c r="N72" s="2">
        <v>1.2607999999999999</v>
      </c>
      <c r="O72" s="2">
        <v>2.1568000000000001</v>
      </c>
      <c r="P72" s="2">
        <v>3.2263999999999999</v>
      </c>
      <c r="Q72" s="2"/>
      <c r="R72" s="14">
        <f t="shared" si="1"/>
        <v>0.19120000000000026</v>
      </c>
      <c r="S72" s="14">
        <f t="shared" si="2"/>
        <v>8.8649851632047589</v>
      </c>
      <c r="U72" s="14">
        <f t="shared" si="4"/>
        <v>13.857891213389104</v>
      </c>
      <c r="V72" s="14">
        <f t="shared" si="10"/>
        <v>108.99210878661088</v>
      </c>
      <c r="Z72" s="14">
        <f t="shared" si="8"/>
        <v>88.719665271966548</v>
      </c>
    </row>
    <row r="73" spans="1:26" ht="16" x14ac:dyDescent="0.2">
      <c r="A73" t="s">
        <v>29</v>
      </c>
      <c r="B73" s="1">
        <v>63</v>
      </c>
      <c r="C73" s="1">
        <v>2</v>
      </c>
      <c r="D73" s="1" t="s">
        <v>41</v>
      </c>
      <c r="E73" s="1" t="s">
        <v>42</v>
      </c>
      <c r="F73" s="1">
        <v>40</v>
      </c>
      <c r="G73" s="1">
        <v>5</v>
      </c>
      <c r="H73" s="1" t="s">
        <v>32</v>
      </c>
      <c r="I73" s="1" t="s">
        <v>33</v>
      </c>
      <c r="J73" s="1">
        <v>3</v>
      </c>
      <c r="K73" s="1" t="s">
        <v>36</v>
      </c>
      <c r="L73" s="1" t="str">
        <f t="shared" si="11"/>
        <v>63_LAHE_5_A3</v>
      </c>
      <c r="M73" s="1">
        <v>124.2</v>
      </c>
      <c r="N73" s="1">
        <v>1.2621</v>
      </c>
      <c r="O73" s="1">
        <v>2.3732000000000002</v>
      </c>
      <c r="P73" s="1">
        <v>3.4447999999999999</v>
      </c>
      <c r="Q73" s="1"/>
      <c r="R73" s="14">
        <f t="shared" si="1"/>
        <v>0.19050000000000011</v>
      </c>
      <c r="S73" s="14">
        <f t="shared" si="2"/>
        <v>8.0271363559750597</v>
      </c>
      <c r="U73" s="14">
        <f t="shared" si="4"/>
        <v>15.472516535433062</v>
      </c>
      <c r="V73" s="14">
        <f t="shared" si="10"/>
        <v>108.72748346456694</v>
      </c>
      <c r="Z73" s="14">
        <f t="shared" si="8"/>
        <v>87.542257217847776</v>
      </c>
    </row>
    <row r="74" spans="1:26" ht="16" x14ac:dyDescent="0.2">
      <c r="A74" t="s">
        <v>29</v>
      </c>
      <c r="B74" s="2">
        <v>64</v>
      </c>
      <c r="C74" s="2">
        <v>2</v>
      </c>
      <c r="D74" s="2" t="s">
        <v>41</v>
      </c>
      <c r="E74" s="2" t="s">
        <v>42</v>
      </c>
      <c r="F74" s="2">
        <v>40</v>
      </c>
      <c r="G74" s="2">
        <v>5</v>
      </c>
      <c r="H74" s="2" t="s">
        <v>32</v>
      </c>
      <c r="I74" s="2" t="s">
        <v>33</v>
      </c>
      <c r="J74" s="2">
        <v>4</v>
      </c>
      <c r="K74" s="3" t="s">
        <v>37</v>
      </c>
      <c r="L74" s="2" t="str">
        <f t="shared" si="11"/>
        <v>64_LAHE_5_A4</v>
      </c>
      <c r="M74" s="2">
        <v>130.4</v>
      </c>
      <c r="N74" s="2">
        <v>1.262</v>
      </c>
      <c r="O74" s="2">
        <v>2.2879</v>
      </c>
      <c r="P74" s="2">
        <v>3.4037000000000002</v>
      </c>
      <c r="Q74" s="2"/>
      <c r="R74" s="14">
        <f t="shared" si="1"/>
        <v>0.14619999999999989</v>
      </c>
      <c r="S74" s="14">
        <f t="shared" si="2"/>
        <v>6.3901394291708504</v>
      </c>
      <c r="U74" s="14">
        <f t="shared" si="4"/>
        <v>20.406440492476076</v>
      </c>
      <c r="V74" s="14">
        <f t="shared" si="10"/>
        <v>109.99355950752393</v>
      </c>
      <c r="Z74" s="14">
        <f t="shared" si="8"/>
        <v>84.350889192886441</v>
      </c>
    </row>
    <row r="75" spans="1:26" ht="16" x14ac:dyDescent="0.2">
      <c r="A75" t="s">
        <v>29</v>
      </c>
      <c r="B75" s="1">
        <v>65</v>
      </c>
      <c r="C75" s="1">
        <v>2</v>
      </c>
      <c r="D75" s="1" t="s">
        <v>41</v>
      </c>
      <c r="E75" s="1" t="s">
        <v>42</v>
      </c>
      <c r="F75" s="1">
        <v>40</v>
      </c>
      <c r="G75" s="1">
        <v>5</v>
      </c>
      <c r="H75" s="1" t="s">
        <v>32</v>
      </c>
      <c r="I75" s="1" t="s">
        <v>33</v>
      </c>
      <c r="J75" s="1">
        <v>5</v>
      </c>
      <c r="K75" s="1" t="s">
        <v>38</v>
      </c>
      <c r="L75" s="1" t="str">
        <f t="shared" ref="L75:L106" si="12">_xlfn.CONCAT(B75,"_",D75,"_",G75,"_", H75,J75)</f>
        <v>65_LAHE_5_A5</v>
      </c>
      <c r="M75" s="1">
        <v>123.6</v>
      </c>
      <c r="N75" s="1">
        <v>1.2609999999999999</v>
      </c>
      <c r="O75" s="1">
        <v>2.9062000000000001</v>
      </c>
      <c r="P75" s="1">
        <v>3.9883999999999999</v>
      </c>
      <c r="Q75" s="1"/>
      <c r="R75" s="14">
        <f t="shared" si="1"/>
        <v>0.17880000000000029</v>
      </c>
      <c r="S75" s="14">
        <f t="shared" si="2"/>
        <v>6.1523639116371998</v>
      </c>
      <c r="U75" s="14">
        <f t="shared" si="4"/>
        <v>20.089838926174462</v>
      </c>
      <c r="V75" s="14">
        <f t="shared" si="10"/>
        <v>103.51016107382553</v>
      </c>
      <c r="Z75" s="14">
        <f t="shared" si="8"/>
        <v>83.746085011185713</v>
      </c>
    </row>
    <row r="76" spans="1:26" ht="16" x14ac:dyDescent="0.2">
      <c r="A76" t="s">
        <v>29</v>
      </c>
      <c r="B76" s="2">
        <v>66</v>
      </c>
      <c r="C76" s="2">
        <v>2</v>
      </c>
      <c r="D76" s="2" t="s">
        <v>41</v>
      </c>
      <c r="E76" s="2" t="s">
        <v>42</v>
      </c>
      <c r="F76" s="2">
        <v>40</v>
      </c>
      <c r="G76" s="2">
        <v>5</v>
      </c>
      <c r="H76" s="2" t="s">
        <v>32</v>
      </c>
      <c r="I76" s="2" t="s">
        <v>33</v>
      </c>
      <c r="J76" s="2">
        <v>6</v>
      </c>
      <c r="K76" s="3" t="s">
        <v>39</v>
      </c>
      <c r="L76" s="2" t="str">
        <f t="shared" si="12"/>
        <v>66_LAHE_5_A6</v>
      </c>
      <c r="M76" s="2">
        <v>686.8</v>
      </c>
      <c r="N76" s="2">
        <v>1.2612000000000001</v>
      </c>
      <c r="O76" s="2">
        <v>2.8498999999999999</v>
      </c>
      <c r="P76" s="2">
        <v>3.9138999999999999</v>
      </c>
      <c r="Q76" s="2"/>
      <c r="R76" s="14">
        <f t="shared" ref="R76:R139" si="13">(N76+O76)-P76</f>
        <v>0.19720000000000049</v>
      </c>
      <c r="S76" s="14">
        <f t="shared" ref="S76:S139" si="14">(R76/O76)*100</f>
        <v>6.9195410365276144</v>
      </c>
      <c r="U76" s="14">
        <f t="shared" ref="U76:U139" si="15">M76/S76</f>
        <v>99.255137931034227</v>
      </c>
      <c r="V76" s="14">
        <f t="shared" si="10"/>
        <v>587.5448620689657</v>
      </c>
      <c r="Z76" s="14">
        <f t="shared" ref="Z76:Z139" si="16">(V76/M76)*100</f>
        <v>85.5481744421907</v>
      </c>
    </row>
    <row r="77" spans="1:26" ht="16" x14ac:dyDescent="0.2">
      <c r="A77" t="s">
        <v>43</v>
      </c>
      <c r="B77" s="1">
        <v>67</v>
      </c>
      <c r="C77" s="1">
        <v>3</v>
      </c>
      <c r="D77" s="1" t="s">
        <v>44</v>
      </c>
      <c r="E77" s="1" t="s">
        <v>45</v>
      </c>
      <c r="F77" s="1">
        <v>60</v>
      </c>
      <c r="G77" s="1">
        <v>1</v>
      </c>
      <c r="H77" s="1" t="s">
        <v>32</v>
      </c>
      <c r="I77" s="1" t="s">
        <v>33</v>
      </c>
      <c r="J77" s="1">
        <v>1</v>
      </c>
      <c r="K77" s="1" t="s">
        <v>34</v>
      </c>
      <c r="L77" s="1" t="str">
        <f t="shared" si="12"/>
        <v>67_MAS1_1_A1</v>
      </c>
      <c r="M77" s="1">
        <v>129.71</v>
      </c>
      <c r="N77" s="1">
        <v>1.2698</v>
      </c>
      <c r="O77" s="1">
        <v>2.1905000000000001</v>
      </c>
      <c r="P77" s="1">
        <v>3.2435999999999998</v>
      </c>
      <c r="Q77" s="1"/>
      <c r="R77" s="14">
        <f t="shared" si="13"/>
        <v>0.21670000000000034</v>
      </c>
      <c r="S77" s="14">
        <f t="shared" si="14"/>
        <v>9.8927185574070009</v>
      </c>
      <c r="U77" s="14">
        <f t="shared" si="15"/>
        <v>13.111663820950602</v>
      </c>
      <c r="V77" s="14">
        <f t="shared" si="10"/>
        <v>116.59833617904941</v>
      </c>
      <c r="Z77" s="14">
        <f t="shared" si="16"/>
        <v>89.891555145362275</v>
      </c>
    </row>
    <row r="78" spans="1:26" ht="16" x14ac:dyDescent="0.2">
      <c r="A78" t="s">
        <v>43</v>
      </c>
      <c r="B78" s="2">
        <v>68</v>
      </c>
      <c r="C78" s="2">
        <v>3</v>
      </c>
      <c r="D78" s="2" t="s">
        <v>44</v>
      </c>
      <c r="E78" s="2" t="s">
        <v>45</v>
      </c>
      <c r="F78" s="2">
        <v>60</v>
      </c>
      <c r="G78" s="2">
        <v>1</v>
      </c>
      <c r="H78" s="2" t="s">
        <v>32</v>
      </c>
      <c r="I78" s="2" t="s">
        <v>33</v>
      </c>
      <c r="J78" s="2">
        <v>2</v>
      </c>
      <c r="K78" s="3" t="s">
        <v>35</v>
      </c>
      <c r="L78" s="2" t="str">
        <f t="shared" si="12"/>
        <v>68_MAS1_1_A2</v>
      </c>
      <c r="M78" s="2">
        <v>129.41</v>
      </c>
      <c r="N78" s="2">
        <v>1.2593000000000001</v>
      </c>
      <c r="O78" s="2">
        <v>1.9965999999999999</v>
      </c>
      <c r="P78" s="2">
        <v>3.0404</v>
      </c>
      <c r="Q78" s="2"/>
      <c r="R78" s="14">
        <f t="shared" si="13"/>
        <v>0.21550000000000002</v>
      </c>
      <c r="S78" s="14">
        <f t="shared" si="14"/>
        <v>10.793348692777723</v>
      </c>
      <c r="U78" s="14">
        <f t="shared" si="15"/>
        <v>11.989791461716935</v>
      </c>
      <c r="V78" s="14">
        <f t="shared" si="10"/>
        <v>117.42020853828306</v>
      </c>
      <c r="Z78" s="14">
        <f t="shared" si="16"/>
        <v>90.735034802784213</v>
      </c>
    </row>
    <row r="79" spans="1:26" ht="16" x14ac:dyDescent="0.2">
      <c r="A79" t="s">
        <v>43</v>
      </c>
      <c r="B79" s="1">
        <v>69</v>
      </c>
      <c r="C79" s="1">
        <v>3</v>
      </c>
      <c r="D79" s="1" t="s">
        <v>44</v>
      </c>
      <c r="E79" s="1" t="s">
        <v>45</v>
      </c>
      <c r="F79" s="1">
        <v>60</v>
      </c>
      <c r="G79" s="1">
        <v>1</v>
      </c>
      <c r="H79" s="1" t="s">
        <v>32</v>
      </c>
      <c r="I79" s="1" t="s">
        <v>33</v>
      </c>
      <c r="J79" s="1">
        <v>3</v>
      </c>
      <c r="K79" s="1" t="s">
        <v>46</v>
      </c>
      <c r="L79" s="1" t="str">
        <f t="shared" si="12"/>
        <v>69_MAS1_1_A3</v>
      </c>
      <c r="M79" s="1">
        <v>331.67</v>
      </c>
      <c r="N79" s="1">
        <v>1.2572000000000001</v>
      </c>
      <c r="O79" s="1">
        <v>2.1547000000000001</v>
      </c>
      <c r="P79" s="1">
        <v>3.1966000000000001</v>
      </c>
      <c r="Q79" s="1"/>
      <c r="R79" s="14">
        <f t="shared" si="13"/>
        <v>0.21530000000000005</v>
      </c>
      <c r="S79" s="14">
        <f t="shared" si="14"/>
        <v>9.9921102705713114</v>
      </c>
      <c r="U79" s="14">
        <f t="shared" si="15"/>
        <v>33.193188527635854</v>
      </c>
      <c r="V79" s="14">
        <f t="shared" si="10"/>
        <v>298.47681147236415</v>
      </c>
      <c r="Z79" s="14">
        <f t="shared" si="16"/>
        <v>89.992104040873201</v>
      </c>
    </row>
    <row r="80" spans="1:26" ht="16" x14ac:dyDescent="0.2">
      <c r="A80" t="s">
        <v>43</v>
      </c>
      <c r="B80" s="2">
        <v>70</v>
      </c>
      <c r="C80" s="2">
        <v>3</v>
      </c>
      <c r="D80" s="2" t="s">
        <v>44</v>
      </c>
      <c r="E80" s="2" t="s">
        <v>45</v>
      </c>
      <c r="F80" s="2">
        <v>60</v>
      </c>
      <c r="G80" s="2">
        <v>1</v>
      </c>
      <c r="H80" s="2" t="s">
        <v>32</v>
      </c>
      <c r="I80" s="2" t="s">
        <v>33</v>
      </c>
      <c r="J80" s="2">
        <v>4</v>
      </c>
      <c r="K80" s="3" t="s">
        <v>47</v>
      </c>
      <c r="L80" s="2" t="str">
        <f t="shared" si="12"/>
        <v>70_MAS1_1_A4</v>
      </c>
      <c r="M80" s="2">
        <v>384.27</v>
      </c>
      <c r="N80" s="2">
        <v>1.2632000000000001</v>
      </c>
      <c r="O80" s="2">
        <v>2.0365000000000002</v>
      </c>
      <c r="P80" s="2">
        <v>3.0737999999999999</v>
      </c>
      <c r="Q80" s="2"/>
      <c r="R80" s="14">
        <f t="shared" si="13"/>
        <v>0.22590000000000066</v>
      </c>
      <c r="S80" s="14">
        <f t="shared" si="14"/>
        <v>11.092560766020163</v>
      </c>
      <c r="U80" s="14">
        <f t="shared" si="15"/>
        <v>34.64213612217786</v>
      </c>
      <c r="V80" s="14">
        <f t="shared" si="10"/>
        <v>349.62786387782211</v>
      </c>
      <c r="Z80" s="14">
        <f t="shared" si="16"/>
        <v>90.984949092518832</v>
      </c>
    </row>
    <row r="81" spans="1:26" ht="16" x14ac:dyDescent="0.2">
      <c r="A81" t="s">
        <v>43</v>
      </c>
      <c r="B81" s="1">
        <v>71</v>
      </c>
      <c r="C81" s="1">
        <v>3</v>
      </c>
      <c r="D81" s="1" t="s">
        <v>44</v>
      </c>
      <c r="E81" s="1" t="s">
        <v>45</v>
      </c>
      <c r="F81" s="1">
        <v>60</v>
      </c>
      <c r="G81" s="1">
        <v>1</v>
      </c>
      <c r="H81" s="1" t="s">
        <v>32</v>
      </c>
      <c r="I81" s="1" t="s">
        <v>33</v>
      </c>
      <c r="J81" s="1">
        <v>5</v>
      </c>
      <c r="K81" s="1" t="s">
        <v>48</v>
      </c>
      <c r="L81" s="1" t="str">
        <f t="shared" si="12"/>
        <v>71_MAS1_1_A5</v>
      </c>
      <c r="M81" s="1">
        <v>354.34</v>
      </c>
      <c r="N81" s="1">
        <v>1.2617</v>
      </c>
      <c r="O81" s="1">
        <v>2.0001000000000002</v>
      </c>
      <c r="P81" s="1">
        <v>2.9830999999999999</v>
      </c>
      <c r="Q81" s="1"/>
      <c r="R81" s="14">
        <f t="shared" si="13"/>
        <v>0.27870000000000017</v>
      </c>
      <c r="S81" s="14">
        <f t="shared" si="14"/>
        <v>13.934303284835764</v>
      </c>
      <c r="U81" s="14">
        <f t="shared" si="15"/>
        <v>25.429330247578029</v>
      </c>
      <c r="V81" s="14">
        <f t="shared" si="10"/>
        <v>328.91066975242194</v>
      </c>
      <c r="Z81" s="14">
        <f t="shared" si="16"/>
        <v>92.823466092572659</v>
      </c>
    </row>
    <row r="82" spans="1:26" ht="16" x14ac:dyDescent="0.2">
      <c r="A82" t="s">
        <v>43</v>
      </c>
      <c r="B82" s="2">
        <v>72</v>
      </c>
      <c r="C82" s="2">
        <v>3</v>
      </c>
      <c r="D82" s="2" t="s">
        <v>44</v>
      </c>
      <c r="E82" s="2" t="s">
        <v>45</v>
      </c>
      <c r="F82" s="2">
        <v>60</v>
      </c>
      <c r="G82" s="2">
        <v>1</v>
      </c>
      <c r="H82" s="2" t="s">
        <v>49</v>
      </c>
      <c r="I82" s="2" t="s">
        <v>50</v>
      </c>
      <c r="J82" s="2">
        <v>1</v>
      </c>
      <c r="K82" s="3" t="s">
        <v>34</v>
      </c>
      <c r="L82" s="2" t="str">
        <f t="shared" si="12"/>
        <v>72_MAS1_1_B1</v>
      </c>
      <c r="M82" s="2">
        <v>77.16</v>
      </c>
      <c r="N82" s="2">
        <v>1.2585999999999999</v>
      </c>
      <c r="O82" s="2">
        <v>2.0512999999999999</v>
      </c>
      <c r="P82" s="2">
        <v>3.1019999999999999</v>
      </c>
      <c r="Q82" s="2"/>
      <c r="R82" s="14">
        <f t="shared" si="13"/>
        <v>0.20789999999999997</v>
      </c>
      <c r="S82" s="14">
        <f t="shared" si="14"/>
        <v>10.135036318432213</v>
      </c>
      <c r="U82" s="14">
        <f t="shared" si="15"/>
        <v>7.613194227994228</v>
      </c>
      <c r="V82" s="14">
        <f t="shared" si="10"/>
        <v>69.546805772005769</v>
      </c>
      <c r="Z82" s="14">
        <f t="shared" si="16"/>
        <v>90.133237133237131</v>
      </c>
    </row>
    <row r="83" spans="1:26" ht="16" x14ac:dyDescent="0.2">
      <c r="A83" t="s">
        <v>43</v>
      </c>
      <c r="B83" s="1">
        <v>73</v>
      </c>
      <c r="C83" s="1">
        <v>3</v>
      </c>
      <c r="D83" s="1" t="s">
        <v>44</v>
      </c>
      <c r="E83" s="1" t="s">
        <v>45</v>
      </c>
      <c r="F83" s="1">
        <v>60</v>
      </c>
      <c r="G83" s="1">
        <v>1</v>
      </c>
      <c r="H83" s="1" t="s">
        <v>49</v>
      </c>
      <c r="I83" s="1" t="s">
        <v>50</v>
      </c>
      <c r="J83" s="1">
        <v>2</v>
      </c>
      <c r="K83" s="1" t="s">
        <v>35</v>
      </c>
      <c r="L83" s="1" t="str">
        <f t="shared" si="12"/>
        <v>73_MAS1_1_B2</v>
      </c>
      <c r="M83" s="1">
        <v>93.38</v>
      </c>
      <c r="N83" s="1">
        <v>1.2584</v>
      </c>
      <c r="O83" s="1">
        <v>2.3517000000000001</v>
      </c>
      <c r="P83" s="1">
        <v>3.3035000000000001</v>
      </c>
      <c r="Q83" s="1"/>
      <c r="R83" s="14">
        <f t="shared" si="13"/>
        <v>0.30659999999999998</v>
      </c>
      <c r="S83" s="14">
        <f t="shared" si="14"/>
        <v>13.037377216481694</v>
      </c>
      <c r="U83" s="14">
        <f t="shared" si="15"/>
        <v>7.1624835616438354</v>
      </c>
      <c r="V83" s="14">
        <f t="shared" si="10"/>
        <v>86.217516438356157</v>
      </c>
      <c r="Z83" s="14">
        <f t="shared" si="16"/>
        <v>92.329745596868889</v>
      </c>
    </row>
    <row r="84" spans="1:26" ht="16" x14ac:dyDescent="0.2">
      <c r="A84" t="s">
        <v>43</v>
      </c>
      <c r="B84" s="2">
        <v>74</v>
      </c>
      <c r="C84" s="2">
        <v>3</v>
      </c>
      <c r="D84" s="2" t="s">
        <v>44</v>
      </c>
      <c r="E84" s="2" t="s">
        <v>45</v>
      </c>
      <c r="F84" s="2">
        <v>60</v>
      </c>
      <c r="G84" s="2">
        <v>1</v>
      </c>
      <c r="H84" s="2" t="s">
        <v>49</v>
      </c>
      <c r="I84" s="2" t="s">
        <v>50</v>
      </c>
      <c r="J84" s="2">
        <v>3</v>
      </c>
      <c r="K84" s="3" t="s">
        <v>46</v>
      </c>
      <c r="L84" s="2" t="str">
        <f t="shared" si="12"/>
        <v>74_MAS1_1_B3</v>
      </c>
      <c r="M84" s="2">
        <v>349.74</v>
      </c>
      <c r="N84" s="2">
        <v>1.2584</v>
      </c>
      <c r="O84" s="2">
        <v>2.0640999999999998</v>
      </c>
      <c r="P84" s="2">
        <v>3.0972</v>
      </c>
      <c r="Q84" s="2"/>
      <c r="R84" s="14">
        <f t="shared" si="13"/>
        <v>0.22529999999999983</v>
      </c>
      <c r="S84" s="14">
        <f t="shared" si="14"/>
        <v>10.915168838719048</v>
      </c>
      <c r="U84" s="14">
        <f t="shared" si="15"/>
        <v>32.041648202396829</v>
      </c>
      <c r="V84" s="14">
        <f t="shared" si="10"/>
        <v>317.69835179760321</v>
      </c>
      <c r="Z84" s="14">
        <f t="shared" si="16"/>
        <v>90.838437638703951</v>
      </c>
    </row>
    <row r="85" spans="1:26" ht="16" x14ac:dyDescent="0.2">
      <c r="A85" t="s">
        <v>43</v>
      </c>
      <c r="B85" s="1">
        <v>75</v>
      </c>
      <c r="C85" s="1">
        <v>3</v>
      </c>
      <c r="D85" s="1" t="s">
        <v>44</v>
      </c>
      <c r="E85" s="1" t="s">
        <v>45</v>
      </c>
      <c r="F85" s="1">
        <v>60</v>
      </c>
      <c r="G85" s="1">
        <v>1</v>
      </c>
      <c r="H85" s="1" t="s">
        <v>49</v>
      </c>
      <c r="I85" s="1" t="s">
        <v>50</v>
      </c>
      <c r="J85" s="1">
        <v>4</v>
      </c>
      <c r="K85" s="1" t="s">
        <v>47</v>
      </c>
      <c r="L85" s="1" t="str">
        <f t="shared" si="12"/>
        <v>75_MAS1_1_B4</v>
      </c>
      <c r="M85" s="1">
        <v>339.49</v>
      </c>
      <c r="N85" s="1">
        <v>1.2625</v>
      </c>
      <c r="O85" s="1">
        <v>2.1362000000000001</v>
      </c>
      <c r="P85" s="1">
        <v>3.1591</v>
      </c>
      <c r="Q85" s="1"/>
      <c r="R85" s="14">
        <f t="shared" si="13"/>
        <v>0.23959999999999981</v>
      </c>
      <c r="S85" s="14">
        <f t="shared" si="14"/>
        <v>11.216178260462495</v>
      </c>
      <c r="U85" s="14">
        <f t="shared" si="15"/>
        <v>30.267885559265466</v>
      </c>
      <c r="V85" s="14">
        <f t="shared" si="10"/>
        <v>309.22211444073457</v>
      </c>
      <c r="Z85" s="14">
        <f t="shared" si="16"/>
        <v>91.08430717863105</v>
      </c>
    </row>
    <row r="86" spans="1:26" ht="16" x14ac:dyDescent="0.2">
      <c r="A86" t="s">
        <v>43</v>
      </c>
      <c r="B86" s="2">
        <v>76</v>
      </c>
      <c r="C86" s="2">
        <v>3</v>
      </c>
      <c r="D86" s="2" t="s">
        <v>44</v>
      </c>
      <c r="E86" s="2" t="s">
        <v>45</v>
      </c>
      <c r="F86" s="2">
        <v>60</v>
      </c>
      <c r="G86" s="2">
        <v>1</v>
      </c>
      <c r="H86" s="2" t="s">
        <v>49</v>
      </c>
      <c r="I86" s="2" t="s">
        <v>50</v>
      </c>
      <c r="J86" s="2">
        <v>5</v>
      </c>
      <c r="K86" s="3" t="s">
        <v>48</v>
      </c>
      <c r="L86" s="2" t="str">
        <f t="shared" si="12"/>
        <v>76_MAS1_1_B5</v>
      </c>
      <c r="M86" s="2">
        <v>383.66899999999998</v>
      </c>
      <c r="N86" s="2">
        <v>1.2643</v>
      </c>
      <c r="O86" s="2">
        <v>2.3774000000000002</v>
      </c>
      <c r="P86" s="2">
        <v>3.3113000000000001</v>
      </c>
      <c r="Q86" s="2"/>
      <c r="R86" s="14">
        <f t="shared" si="13"/>
        <v>0.33040000000000003</v>
      </c>
      <c r="S86" s="14">
        <f t="shared" si="14"/>
        <v>13.897535122402624</v>
      </c>
      <c r="U86" s="14">
        <f t="shared" si="15"/>
        <v>27.60698185835351</v>
      </c>
      <c r="V86" s="14">
        <f t="shared" si="10"/>
        <v>356.06201814164649</v>
      </c>
      <c r="Z86" s="14">
        <f t="shared" si="16"/>
        <v>92.804479418886203</v>
      </c>
    </row>
    <row r="87" spans="1:26" ht="16" x14ac:dyDescent="0.2">
      <c r="A87" t="s">
        <v>43</v>
      </c>
      <c r="B87" s="1">
        <v>77</v>
      </c>
      <c r="C87" s="1">
        <v>3</v>
      </c>
      <c r="D87" s="1" t="s">
        <v>44</v>
      </c>
      <c r="E87" s="1" t="s">
        <v>45</v>
      </c>
      <c r="F87" s="1">
        <v>60</v>
      </c>
      <c r="G87" s="1">
        <v>1</v>
      </c>
      <c r="H87" s="1" t="s">
        <v>51</v>
      </c>
      <c r="I87" s="1" t="s">
        <v>50</v>
      </c>
      <c r="J87" s="1">
        <v>1</v>
      </c>
      <c r="K87" s="1" t="s">
        <v>34</v>
      </c>
      <c r="L87" s="1" t="str">
        <f t="shared" si="12"/>
        <v>77_MAS1_1_C1</v>
      </c>
      <c r="M87" s="1">
        <v>97.19</v>
      </c>
      <c r="N87" s="1">
        <v>1.2606999999999999</v>
      </c>
      <c r="O87" s="1">
        <v>2.1808999999999998</v>
      </c>
      <c r="P87" s="1">
        <v>3.1526999999999998</v>
      </c>
      <c r="Q87" s="1"/>
      <c r="R87" s="14">
        <f t="shared" si="13"/>
        <v>0.28889999999999993</v>
      </c>
      <c r="S87" s="14">
        <f t="shared" si="14"/>
        <v>13.246824705396854</v>
      </c>
      <c r="U87" s="14">
        <f t="shared" si="15"/>
        <v>7.3368525787469716</v>
      </c>
      <c r="V87" s="14">
        <f t="shared" si="10"/>
        <v>89.853147421253027</v>
      </c>
      <c r="Z87" s="14">
        <f t="shared" si="16"/>
        <v>92.451021114572512</v>
      </c>
    </row>
    <row r="88" spans="1:26" ht="16" x14ac:dyDescent="0.2">
      <c r="A88" t="s">
        <v>43</v>
      </c>
      <c r="B88" s="2">
        <v>78</v>
      </c>
      <c r="C88" s="2">
        <v>3</v>
      </c>
      <c r="D88" s="2" t="s">
        <v>44</v>
      </c>
      <c r="E88" s="2" t="s">
        <v>45</v>
      </c>
      <c r="F88" s="2">
        <v>60</v>
      </c>
      <c r="G88" s="2">
        <v>1</v>
      </c>
      <c r="H88" s="2" t="s">
        <v>51</v>
      </c>
      <c r="I88" s="2" t="s">
        <v>50</v>
      </c>
      <c r="J88" s="2">
        <v>2</v>
      </c>
      <c r="K88" s="3" t="s">
        <v>35</v>
      </c>
      <c r="L88" s="2" t="str">
        <f t="shared" si="12"/>
        <v>78_MAS1_1_C2</v>
      </c>
      <c r="M88" s="2">
        <v>81.180000000000007</v>
      </c>
      <c r="N88" s="2">
        <v>1.2613000000000001</v>
      </c>
      <c r="O88" s="2">
        <v>1.1327</v>
      </c>
      <c r="P88" s="2">
        <v>2.2551000000000001</v>
      </c>
      <c r="Q88" s="2"/>
      <c r="R88" s="14">
        <f t="shared" si="13"/>
        <v>0.13890000000000002</v>
      </c>
      <c r="S88" s="14">
        <f t="shared" si="14"/>
        <v>12.262735057826433</v>
      </c>
      <c r="U88" s="14">
        <f t="shared" si="15"/>
        <v>6.6200565874730026</v>
      </c>
      <c r="V88" s="14">
        <f t="shared" si="10"/>
        <v>74.559943412527005</v>
      </c>
      <c r="Z88" s="14">
        <f t="shared" si="16"/>
        <v>91.845212383009354</v>
      </c>
    </row>
    <row r="89" spans="1:26" ht="16" x14ac:dyDescent="0.2">
      <c r="A89" t="s">
        <v>43</v>
      </c>
      <c r="B89" s="1">
        <v>79</v>
      </c>
      <c r="C89" s="1">
        <v>3</v>
      </c>
      <c r="D89" s="1" t="s">
        <v>44</v>
      </c>
      <c r="E89" s="1" t="s">
        <v>45</v>
      </c>
      <c r="F89" s="1">
        <v>60</v>
      </c>
      <c r="G89" s="1">
        <v>1</v>
      </c>
      <c r="H89" s="1" t="s">
        <v>51</v>
      </c>
      <c r="I89" s="1" t="s">
        <v>50</v>
      </c>
      <c r="J89" s="1">
        <v>3</v>
      </c>
      <c r="K89" s="1" t="s">
        <v>46</v>
      </c>
      <c r="L89" s="1" t="str">
        <f t="shared" si="12"/>
        <v>79_MAS1_1_C3</v>
      </c>
      <c r="M89" s="1">
        <v>340.89</v>
      </c>
      <c r="N89" s="1">
        <v>1.2766999999999999</v>
      </c>
      <c r="O89" s="1">
        <v>2.2547000000000001</v>
      </c>
      <c r="P89" s="1">
        <v>3.2721</v>
      </c>
      <c r="Q89" s="1"/>
      <c r="R89" s="14">
        <f t="shared" si="13"/>
        <v>0.25930000000000009</v>
      </c>
      <c r="S89" s="14">
        <f t="shared" si="14"/>
        <v>11.500421342085424</v>
      </c>
      <c r="U89" s="14">
        <f t="shared" si="15"/>
        <v>29.641522676436551</v>
      </c>
      <c r="V89" s="14">
        <f t="shared" si="10"/>
        <v>311.24847732356341</v>
      </c>
      <c r="Z89" s="14">
        <f t="shared" si="16"/>
        <v>91.304666409564206</v>
      </c>
    </row>
    <row r="90" spans="1:26" ht="16" x14ac:dyDescent="0.2">
      <c r="A90" t="s">
        <v>43</v>
      </c>
      <c r="B90" s="2">
        <v>80</v>
      </c>
      <c r="C90" s="2">
        <v>3</v>
      </c>
      <c r="D90" s="2" t="s">
        <v>44</v>
      </c>
      <c r="E90" s="2" t="s">
        <v>45</v>
      </c>
      <c r="F90" s="2">
        <v>60</v>
      </c>
      <c r="G90" s="2">
        <v>1</v>
      </c>
      <c r="H90" s="2" t="s">
        <v>51</v>
      </c>
      <c r="I90" s="2" t="s">
        <v>50</v>
      </c>
      <c r="J90" s="2">
        <v>4</v>
      </c>
      <c r="K90" s="3" t="s">
        <v>47</v>
      </c>
      <c r="L90" s="2" t="str">
        <f t="shared" si="12"/>
        <v>80_MAS1_1_C4</v>
      </c>
      <c r="M90" s="2">
        <v>632.33000000000004</v>
      </c>
      <c r="N90" s="2">
        <v>1.2698</v>
      </c>
      <c r="O90" s="2">
        <v>2.0146999999999999</v>
      </c>
      <c r="P90" s="2">
        <v>3.0486</v>
      </c>
      <c r="Q90" s="2"/>
      <c r="R90" s="14">
        <f t="shared" si="13"/>
        <v>0.2359</v>
      </c>
      <c r="S90" s="14">
        <f t="shared" si="14"/>
        <v>11.708939296173128</v>
      </c>
      <c r="U90" s="14">
        <f t="shared" si="15"/>
        <v>54.004037770241631</v>
      </c>
      <c r="V90" s="14">
        <f t="shared" si="10"/>
        <v>578.32596222975837</v>
      </c>
      <c r="Z90" s="14">
        <f t="shared" si="16"/>
        <v>91.459516744383208</v>
      </c>
    </row>
    <row r="91" spans="1:26" ht="16" x14ac:dyDescent="0.2">
      <c r="A91" t="s">
        <v>43</v>
      </c>
      <c r="B91" s="1">
        <v>81</v>
      </c>
      <c r="C91" s="1">
        <v>3</v>
      </c>
      <c r="D91" s="1" t="s">
        <v>44</v>
      </c>
      <c r="E91" s="1" t="s">
        <v>45</v>
      </c>
      <c r="F91" s="1">
        <v>60</v>
      </c>
      <c r="G91" s="1">
        <v>1</v>
      </c>
      <c r="H91" s="1" t="s">
        <v>51</v>
      </c>
      <c r="I91" s="1" t="s">
        <v>50</v>
      </c>
      <c r="J91" s="1">
        <v>5</v>
      </c>
      <c r="K91" s="1" t="s">
        <v>48</v>
      </c>
      <c r="L91" s="1" t="str">
        <f t="shared" si="12"/>
        <v>81_MAS1_1_C5</v>
      </c>
      <c r="M91" s="1">
        <v>375.26</v>
      </c>
      <c r="N91" s="1">
        <v>1.2789999999999999</v>
      </c>
      <c r="O91" s="1">
        <v>1.9943</v>
      </c>
      <c r="P91" s="1">
        <v>3.0217000000000001</v>
      </c>
      <c r="Q91" s="1"/>
      <c r="R91" s="14">
        <f t="shared" si="13"/>
        <v>0.25159999999999982</v>
      </c>
      <c r="S91" s="14">
        <f t="shared" si="14"/>
        <v>12.615955473098323</v>
      </c>
      <c r="U91" s="14">
        <f t="shared" si="15"/>
        <v>29.74487352941178</v>
      </c>
      <c r="V91" s="14">
        <f t="shared" si="10"/>
        <v>345.5151264705882</v>
      </c>
      <c r="Z91" s="14">
        <f t="shared" si="16"/>
        <v>92.073529411764696</v>
      </c>
    </row>
    <row r="92" spans="1:26" ht="16" x14ac:dyDescent="0.2">
      <c r="A92" t="s">
        <v>43</v>
      </c>
      <c r="B92" s="2">
        <v>82</v>
      </c>
      <c r="C92" s="2">
        <v>3</v>
      </c>
      <c r="D92" s="2" t="s">
        <v>44</v>
      </c>
      <c r="E92" s="2" t="s">
        <v>45</v>
      </c>
      <c r="F92" s="2">
        <v>60</v>
      </c>
      <c r="G92" s="2">
        <v>2</v>
      </c>
      <c r="H92" s="2" t="s">
        <v>32</v>
      </c>
      <c r="I92" s="2" t="s">
        <v>33</v>
      </c>
      <c r="J92" s="2">
        <v>1</v>
      </c>
      <c r="K92" s="3" t="s">
        <v>34</v>
      </c>
      <c r="L92" s="2" t="str">
        <f t="shared" si="12"/>
        <v>82_MAS1_2_A1</v>
      </c>
      <c r="M92" s="2">
        <v>79.680000000000007</v>
      </c>
      <c r="N92" s="2">
        <v>1.28</v>
      </c>
      <c r="O92" s="2">
        <v>1.0781000000000001</v>
      </c>
      <c r="P92" s="2">
        <v>2.2591000000000001</v>
      </c>
      <c r="Q92" s="2"/>
      <c r="R92" s="14">
        <f t="shared" si="13"/>
        <v>9.9000000000000199E-2</v>
      </c>
      <c r="S92" s="14">
        <f t="shared" si="14"/>
        <v>9.1828216306465258</v>
      </c>
      <c r="U92" s="14">
        <f t="shared" si="15"/>
        <v>8.6770715151514981</v>
      </c>
      <c r="V92" s="14">
        <f t="shared" si="10"/>
        <v>71.00292848484851</v>
      </c>
      <c r="Z92" s="14">
        <f t="shared" si="16"/>
        <v>89.110101010101033</v>
      </c>
    </row>
    <row r="93" spans="1:26" ht="16" x14ac:dyDescent="0.2">
      <c r="A93" t="s">
        <v>43</v>
      </c>
      <c r="B93" s="1">
        <v>83</v>
      </c>
      <c r="C93" s="1">
        <v>3</v>
      </c>
      <c r="D93" s="1" t="s">
        <v>44</v>
      </c>
      <c r="E93" s="1" t="s">
        <v>45</v>
      </c>
      <c r="F93" s="1">
        <v>60</v>
      </c>
      <c r="G93" s="1">
        <v>2</v>
      </c>
      <c r="H93" s="1" t="s">
        <v>32</v>
      </c>
      <c r="I93" s="1" t="s">
        <v>33</v>
      </c>
      <c r="J93" s="1">
        <v>2</v>
      </c>
      <c r="K93" s="1" t="s">
        <v>35</v>
      </c>
      <c r="L93" s="1" t="str">
        <f t="shared" si="12"/>
        <v>83_MAS1_2_A2</v>
      </c>
      <c r="M93" s="1">
        <v>107.4</v>
      </c>
      <c r="N93" s="1">
        <v>1.2742</v>
      </c>
      <c r="O93" s="1">
        <v>2.0017999999999998</v>
      </c>
      <c r="P93" s="1">
        <v>3.0655000000000001</v>
      </c>
      <c r="Q93" s="1"/>
      <c r="R93" s="14">
        <f t="shared" si="13"/>
        <v>0.21049999999999969</v>
      </c>
      <c r="S93" s="14">
        <f t="shared" si="14"/>
        <v>10.515536017584159</v>
      </c>
      <c r="U93" s="14">
        <f t="shared" si="15"/>
        <v>10.213459382422819</v>
      </c>
      <c r="V93" s="14">
        <f t="shared" ref="V93:V156" si="17">M93-U93</f>
        <v>97.18654061757718</v>
      </c>
      <c r="Z93" s="14">
        <f t="shared" si="16"/>
        <v>90.490261282660313</v>
      </c>
    </row>
    <row r="94" spans="1:26" ht="16" x14ac:dyDescent="0.2">
      <c r="A94" t="s">
        <v>43</v>
      </c>
      <c r="B94" s="2">
        <v>84</v>
      </c>
      <c r="C94" s="2">
        <v>3</v>
      </c>
      <c r="D94" s="2" t="s">
        <v>44</v>
      </c>
      <c r="E94" s="2" t="s">
        <v>45</v>
      </c>
      <c r="F94" s="2">
        <v>60</v>
      </c>
      <c r="G94" s="2">
        <v>2</v>
      </c>
      <c r="H94" s="2" t="s">
        <v>32</v>
      </c>
      <c r="I94" s="2" t="s">
        <v>33</v>
      </c>
      <c r="J94" s="2">
        <v>3</v>
      </c>
      <c r="K94" s="3" t="s">
        <v>46</v>
      </c>
      <c r="L94" s="2" t="str">
        <f t="shared" si="12"/>
        <v>84_MAS1_2_A3</v>
      </c>
      <c r="M94" s="2">
        <v>359.45</v>
      </c>
      <c r="N94" s="2">
        <v>1.2796000000000001</v>
      </c>
      <c r="O94" s="2">
        <v>2.1431</v>
      </c>
      <c r="P94" s="2">
        <v>3.2374999999999998</v>
      </c>
      <c r="Q94" s="2"/>
      <c r="R94" s="14">
        <f t="shared" si="13"/>
        <v>0.18520000000000003</v>
      </c>
      <c r="S94" s="14">
        <f t="shared" si="14"/>
        <v>8.6416872754421181</v>
      </c>
      <c r="U94" s="14">
        <f t="shared" si="15"/>
        <v>41.594886339092866</v>
      </c>
      <c r="V94" s="14">
        <f t="shared" si="17"/>
        <v>317.85511366090714</v>
      </c>
      <c r="Z94" s="14">
        <f t="shared" si="16"/>
        <v>88.428185745140397</v>
      </c>
    </row>
    <row r="95" spans="1:26" ht="16" x14ac:dyDescent="0.2">
      <c r="A95" t="s">
        <v>43</v>
      </c>
      <c r="B95" s="1">
        <v>85</v>
      </c>
      <c r="C95" s="1">
        <v>3</v>
      </c>
      <c r="D95" s="1" t="s">
        <v>44</v>
      </c>
      <c r="E95" s="1" t="s">
        <v>45</v>
      </c>
      <c r="F95" s="1">
        <v>60</v>
      </c>
      <c r="G95" s="1">
        <v>2</v>
      </c>
      <c r="H95" s="1" t="s">
        <v>32</v>
      </c>
      <c r="I95" s="1" t="s">
        <v>33</v>
      </c>
      <c r="J95" s="1">
        <v>4</v>
      </c>
      <c r="K95" s="1" t="s">
        <v>47</v>
      </c>
      <c r="L95" s="1" t="str">
        <f t="shared" si="12"/>
        <v>85_MAS1_2_A4</v>
      </c>
      <c r="M95" s="1">
        <v>302.77999999999997</v>
      </c>
      <c r="N95" s="1">
        <v>1.2766999999999999</v>
      </c>
      <c r="O95" s="1">
        <v>2.0034000000000001</v>
      </c>
      <c r="P95" s="1">
        <v>3.0849000000000002</v>
      </c>
      <c r="Q95" s="1"/>
      <c r="R95" s="14">
        <f t="shared" si="13"/>
        <v>0.19519999999999982</v>
      </c>
      <c r="S95" s="14">
        <f t="shared" si="14"/>
        <v>9.7434361585304892</v>
      </c>
      <c r="U95" s="14">
        <f t="shared" si="15"/>
        <v>31.075279303278716</v>
      </c>
      <c r="V95" s="14">
        <f t="shared" si="17"/>
        <v>271.70472069672127</v>
      </c>
      <c r="Z95" s="14">
        <f t="shared" si="16"/>
        <v>89.736680327868839</v>
      </c>
    </row>
    <row r="96" spans="1:26" ht="16" x14ac:dyDescent="0.2">
      <c r="A96" t="s">
        <v>43</v>
      </c>
      <c r="B96" s="2">
        <v>86</v>
      </c>
      <c r="C96" s="2">
        <v>3</v>
      </c>
      <c r="D96" s="2" t="s">
        <v>44</v>
      </c>
      <c r="E96" s="2" t="s">
        <v>45</v>
      </c>
      <c r="F96" s="2">
        <v>60</v>
      </c>
      <c r="G96" s="2">
        <v>2</v>
      </c>
      <c r="H96" s="2" t="s">
        <v>32</v>
      </c>
      <c r="I96" s="2" t="s">
        <v>33</v>
      </c>
      <c r="J96" s="2">
        <v>5</v>
      </c>
      <c r="K96" s="3" t="s">
        <v>48</v>
      </c>
      <c r="L96" s="2" t="str">
        <f t="shared" si="12"/>
        <v>86_MAS1_2_A5</v>
      </c>
      <c r="M96" s="2">
        <v>359.69</v>
      </c>
      <c r="N96" s="2">
        <v>1.2742</v>
      </c>
      <c r="O96" s="2">
        <v>2.0531999999999999</v>
      </c>
      <c r="P96" s="2">
        <v>3.0926</v>
      </c>
      <c r="Q96" s="2"/>
      <c r="R96" s="14">
        <f t="shared" si="13"/>
        <v>0.2347999999999999</v>
      </c>
      <c r="S96" s="14">
        <f t="shared" si="14"/>
        <v>11.435807519968824</v>
      </c>
      <c r="U96" s="14">
        <f t="shared" si="15"/>
        <v>31.452960306643966</v>
      </c>
      <c r="V96" s="14">
        <f t="shared" si="17"/>
        <v>328.23703969335605</v>
      </c>
      <c r="Z96" s="14">
        <f t="shared" si="16"/>
        <v>91.255536626916523</v>
      </c>
    </row>
    <row r="97" spans="1:26" ht="16" x14ac:dyDescent="0.2">
      <c r="A97" t="s">
        <v>43</v>
      </c>
      <c r="B97" s="1">
        <v>87</v>
      </c>
      <c r="C97" s="1">
        <v>3</v>
      </c>
      <c r="D97" s="1" t="s">
        <v>44</v>
      </c>
      <c r="E97" s="1" t="s">
        <v>45</v>
      </c>
      <c r="F97" s="1">
        <v>60</v>
      </c>
      <c r="G97" s="1">
        <v>3</v>
      </c>
      <c r="H97" s="1" t="s">
        <v>32</v>
      </c>
      <c r="I97" s="1" t="s">
        <v>33</v>
      </c>
      <c r="J97" s="1">
        <v>1</v>
      </c>
      <c r="K97" s="1" t="s">
        <v>34</v>
      </c>
      <c r="L97" s="1" t="str">
        <f t="shared" si="12"/>
        <v>87_MAS1_3_A1</v>
      </c>
      <c r="M97" s="1">
        <v>82.01</v>
      </c>
      <c r="N97" s="1">
        <v>1.2784</v>
      </c>
      <c r="O97" s="1">
        <v>2.3288000000000002</v>
      </c>
      <c r="P97" s="1">
        <v>3.3708999999999998</v>
      </c>
      <c r="Q97" s="1"/>
      <c r="R97" s="14">
        <f t="shared" si="13"/>
        <v>0.2363000000000004</v>
      </c>
      <c r="S97" s="14">
        <f t="shared" si="14"/>
        <v>10.14685675025766</v>
      </c>
      <c r="U97" s="14">
        <f t="shared" si="15"/>
        <v>8.0823058823529284</v>
      </c>
      <c r="V97" s="14">
        <f t="shared" si="17"/>
        <v>73.927694117647079</v>
      </c>
      <c r="Z97" s="14">
        <f t="shared" si="16"/>
        <v>90.144731273804496</v>
      </c>
    </row>
    <row r="98" spans="1:26" ht="16" x14ac:dyDescent="0.2">
      <c r="A98" t="s">
        <v>43</v>
      </c>
      <c r="B98" s="2">
        <v>88</v>
      </c>
      <c r="C98" s="2">
        <v>3</v>
      </c>
      <c r="D98" s="2" t="s">
        <v>44</v>
      </c>
      <c r="E98" s="2" t="s">
        <v>45</v>
      </c>
      <c r="F98" s="2">
        <v>60</v>
      </c>
      <c r="G98" s="2">
        <v>3</v>
      </c>
      <c r="H98" s="2" t="s">
        <v>32</v>
      </c>
      <c r="I98" s="2" t="s">
        <v>33</v>
      </c>
      <c r="J98" s="2">
        <v>2</v>
      </c>
      <c r="K98" s="3" t="s">
        <v>35</v>
      </c>
      <c r="L98" s="2" t="str">
        <f t="shared" si="12"/>
        <v>88_MAS1_3_A2</v>
      </c>
      <c r="M98" s="2">
        <v>116.21</v>
      </c>
      <c r="N98" s="2">
        <v>1.2765</v>
      </c>
      <c r="O98" s="2">
        <v>2.3304999999999998</v>
      </c>
      <c r="P98" s="2">
        <v>3.4081000000000001</v>
      </c>
      <c r="Q98" s="2"/>
      <c r="R98" s="14">
        <f t="shared" si="13"/>
        <v>0.19889999999999963</v>
      </c>
      <c r="S98" s="14">
        <f t="shared" si="14"/>
        <v>8.534649216906228</v>
      </c>
      <c r="U98" s="14">
        <f t="shared" si="15"/>
        <v>13.616259678230291</v>
      </c>
      <c r="V98" s="14">
        <f t="shared" si="17"/>
        <v>102.5937403217697</v>
      </c>
      <c r="Z98" s="14">
        <f t="shared" si="16"/>
        <v>88.283056812468558</v>
      </c>
    </row>
    <row r="99" spans="1:26" ht="16" x14ac:dyDescent="0.2">
      <c r="A99" t="s">
        <v>43</v>
      </c>
      <c r="B99" s="1">
        <v>89</v>
      </c>
      <c r="C99" s="1">
        <v>3</v>
      </c>
      <c r="D99" s="1" t="s">
        <v>44</v>
      </c>
      <c r="E99" s="1" t="s">
        <v>45</v>
      </c>
      <c r="F99" s="1">
        <v>60</v>
      </c>
      <c r="G99" s="1">
        <v>3</v>
      </c>
      <c r="H99" s="1" t="s">
        <v>32</v>
      </c>
      <c r="I99" s="1" t="s">
        <v>33</v>
      </c>
      <c r="J99" s="1">
        <v>3</v>
      </c>
      <c r="K99" s="1" t="s">
        <v>46</v>
      </c>
      <c r="L99" s="1" t="str">
        <f t="shared" si="12"/>
        <v>89_MAS1_3_A3</v>
      </c>
      <c r="M99" s="1">
        <v>346.46</v>
      </c>
      <c r="N99" s="1">
        <v>1.2769999999999999</v>
      </c>
      <c r="O99" s="1">
        <v>2.2988</v>
      </c>
      <c r="P99" s="1">
        <v>3.4060999999999999</v>
      </c>
      <c r="Q99" s="1"/>
      <c r="R99" s="14">
        <f t="shared" si="13"/>
        <v>0.16970000000000018</v>
      </c>
      <c r="S99" s="14">
        <f t="shared" si="14"/>
        <v>7.3821124064729498</v>
      </c>
      <c r="U99" s="14">
        <f t="shared" si="15"/>
        <v>46.93236582203884</v>
      </c>
      <c r="V99" s="14">
        <f t="shared" si="17"/>
        <v>299.52763417796115</v>
      </c>
      <c r="Z99" s="14">
        <f t="shared" si="16"/>
        <v>86.453741897466131</v>
      </c>
    </row>
    <row r="100" spans="1:26" ht="16" x14ac:dyDescent="0.2">
      <c r="A100" t="s">
        <v>43</v>
      </c>
      <c r="B100" s="2">
        <v>90</v>
      </c>
      <c r="C100" s="2">
        <v>3</v>
      </c>
      <c r="D100" s="2" t="s">
        <v>44</v>
      </c>
      <c r="E100" s="2" t="s">
        <v>45</v>
      </c>
      <c r="F100" s="2">
        <v>60</v>
      </c>
      <c r="G100" s="2">
        <v>3</v>
      </c>
      <c r="H100" s="2" t="s">
        <v>32</v>
      </c>
      <c r="I100" s="2" t="s">
        <v>33</v>
      </c>
      <c r="J100" s="2">
        <v>4</v>
      </c>
      <c r="K100" s="3" t="s">
        <v>47</v>
      </c>
      <c r="L100" s="2" t="str">
        <f t="shared" si="12"/>
        <v>90_MAS1_3_A4</v>
      </c>
      <c r="M100" s="2">
        <v>313.83</v>
      </c>
      <c r="N100" s="2">
        <v>1.2836000000000001</v>
      </c>
      <c r="O100" s="2">
        <v>2.1840999999999999</v>
      </c>
      <c r="P100" s="2">
        <v>3.2984</v>
      </c>
      <c r="Q100" s="2"/>
      <c r="R100" s="14">
        <f t="shared" si="13"/>
        <v>0.16929999999999978</v>
      </c>
      <c r="S100" s="14">
        <f t="shared" si="14"/>
        <v>7.7514765807426302</v>
      </c>
      <c r="U100" s="14">
        <f t="shared" si="15"/>
        <v>40.486479799173111</v>
      </c>
      <c r="V100" s="14">
        <f t="shared" si="17"/>
        <v>273.3435202008269</v>
      </c>
      <c r="Z100" s="14">
        <f t="shared" si="16"/>
        <v>87.099232132309496</v>
      </c>
    </row>
    <row r="101" spans="1:26" ht="16" x14ac:dyDescent="0.2">
      <c r="A101" t="s">
        <v>43</v>
      </c>
      <c r="B101" s="1">
        <v>91</v>
      </c>
      <c r="C101" s="1">
        <v>3</v>
      </c>
      <c r="D101" s="1" t="s">
        <v>44</v>
      </c>
      <c r="E101" s="1" t="s">
        <v>45</v>
      </c>
      <c r="F101" s="1">
        <v>60</v>
      </c>
      <c r="G101" s="1">
        <v>3</v>
      </c>
      <c r="H101" s="1" t="s">
        <v>32</v>
      </c>
      <c r="I101" s="1" t="s">
        <v>33</v>
      </c>
      <c r="J101" s="1">
        <v>5</v>
      </c>
      <c r="K101" s="1" t="s">
        <v>48</v>
      </c>
      <c r="L101" s="1" t="str">
        <f t="shared" si="12"/>
        <v>91_MAS1_3_A5</v>
      </c>
      <c r="M101" s="1">
        <v>320.93</v>
      </c>
      <c r="N101" s="1">
        <v>1.2789999999999999</v>
      </c>
      <c r="O101" s="1">
        <v>2.0707</v>
      </c>
      <c r="P101" s="1">
        <v>3.1711999999999998</v>
      </c>
      <c r="Q101" s="1"/>
      <c r="R101" s="14">
        <f t="shared" si="13"/>
        <v>0.1785000000000001</v>
      </c>
      <c r="S101" s="14">
        <f t="shared" si="14"/>
        <v>8.6202733375187197</v>
      </c>
      <c r="U101" s="14">
        <f t="shared" si="15"/>
        <v>37.22967792717084</v>
      </c>
      <c r="V101" s="14">
        <f t="shared" si="17"/>
        <v>283.70032207282918</v>
      </c>
      <c r="Z101" s="14">
        <f t="shared" si="16"/>
        <v>88.39943977591038</v>
      </c>
    </row>
    <row r="102" spans="1:26" ht="16" x14ac:dyDescent="0.2">
      <c r="A102" t="s">
        <v>43</v>
      </c>
      <c r="B102" s="2">
        <v>92</v>
      </c>
      <c r="C102" s="2">
        <v>3</v>
      </c>
      <c r="D102" s="2" t="s">
        <v>44</v>
      </c>
      <c r="E102" s="2" t="s">
        <v>45</v>
      </c>
      <c r="F102" s="2">
        <v>60</v>
      </c>
      <c r="G102" s="2">
        <v>3</v>
      </c>
      <c r="H102" s="2" t="s">
        <v>49</v>
      </c>
      <c r="I102" s="2" t="s">
        <v>50</v>
      </c>
      <c r="J102" s="2">
        <v>1</v>
      </c>
      <c r="K102" s="3" t="s">
        <v>34</v>
      </c>
      <c r="L102" s="2" t="str">
        <f t="shared" si="12"/>
        <v>92_MAS1_3_B1</v>
      </c>
      <c r="M102" s="2">
        <v>71.95</v>
      </c>
      <c r="N102" s="2">
        <v>1.2790999999999999</v>
      </c>
      <c r="O102" s="2">
        <v>2.0308999999999999</v>
      </c>
      <c r="P102" s="2">
        <v>3.1118999999999999</v>
      </c>
      <c r="Q102" s="2"/>
      <c r="R102" s="14">
        <f t="shared" si="13"/>
        <v>0.19809999999999972</v>
      </c>
      <c r="S102" s="14">
        <f t="shared" si="14"/>
        <v>9.7542961248707325</v>
      </c>
      <c r="U102" s="14">
        <f t="shared" si="15"/>
        <v>7.3762370015143981</v>
      </c>
      <c r="V102" s="14">
        <f t="shared" si="17"/>
        <v>64.573762998485606</v>
      </c>
      <c r="Z102" s="14">
        <f t="shared" si="16"/>
        <v>89.748107016658238</v>
      </c>
    </row>
    <row r="103" spans="1:26" ht="16" x14ac:dyDescent="0.2">
      <c r="A103" t="s">
        <v>43</v>
      </c>
      <c r="B103" s="1">
        <v>93</v>
      </c>
      <c r="C103" s="1">
        <v>3</v>
      </c>
      <c r="D103" s="1" t="s">
        <v>44</v>
      </c>
      <c r="E103" s="1" t="s">
        <v>45</v>
      </c>
      <c r="F103" s="1">
        <v>60</v>
      </c>
      <c r="G103" s="1">
        <v>3</v>
      </c>
      <c r="H103" s="1" t="s">
        <v>49</v>
      </c>
      <c r="I103" s="1" t="s">
        <v>50</v>
      </c>
      <c r="J103" s="1">
        <v>2</v>
      </c>
      <c r="K103" s="1" t="s">
        <v>35</v>
      </c>
      <c r="L103" s="1" t="str">
        <f t="shared" si="12"/>
        <v>93_MAS1_3_B2</v>
      </c>
      <c r="M103" s="1">
        <v>89.55</v>
      </c>
      <c r="N103" s="1">
        <v>1.2776000000000001</v>
      </c>
      <c r="O103" s="1">
        <v>2.0524</v>
      </c>
      <c r="P103" s="1">
        <v>3.1048</v>
      </c>
      <c r="Q103" s="1"/>
      <c r="R103" s="14">
        <f t="shared" si="13"/>
        <v>0.22520000000000007</v>
      </c>
      <c r="S103" s="14">
        <f t="shared" si="14"/>
        <v>10.972519976612748</v>
      </c>
      <c r="U103" s="14">
        <f t="shared" si="15"/>
        <v>8.1612975133214896</v>
      </c>
      <c r="V103" s="14">
        <f t="shared" si="17"/>
        <v>81.388702486678511</v>
      </c>
      <c r="Z103" s="14">
        <f t="shared" si="16"/>
        <v>90.886323268206041</v>
      </c>
    </row>
    <row r="104" spans="1:26" ht="16" x14ac:dyDescent="0.2">
      <c r="A104" t="s">
        <v>43</v>
      </c>
      <c r="B104" s="2">
        <v>94</v>
      </c>
      <c r="C104" s="2">
        <v>3</v>
      </c>
      <c r="D104" s="2" t="s">
        <v>44</v>
      </c>
      <c r="E104" s="2" t="s">
        <v>45</v>
      </c>
      <c r="F104" s="2">
        <v>60</v>
      </c>
      <c r="G104" s="2">
        <v>3</v>
      </c>
      <c r="H104" s="2" t="s">
        <v>49</v>
      </c>
      <c r="I104" s="2" t="s">
        <v>50</v>
      </c>
      <c r="J104" s="2">
        <v>3</v>
      </c>
      <c r="K104" s="3" t="s">
        <v>46</v>
      </c>
      <c r="L104" s="2" t="str">
        <f t="shared" si="12"/>
        <v>94_MAS1_3_B3</v>
      </c>
      <c r="M104" s="2">
        <v>359.62</v>
      </c>
      <c r="N104" s="2">
        <v>1.2858000000000001</v>
      </c>
      <c r="O104" s="2">
        <v>2.0217999999999998</v>
      </c>
      <c r="P104" s="2">
        <v>3.1579999999999999</v>
      </c>
      <c r="Q104" s="2"/>
      <c r="R104" s="14">
        <f t="shared" si="13"/>
        <v>0.14959999999999996</v>
      </c>
      <c r="S104" s="14">
        <f t="shared" si="14"/>
        <v>7.3993471164309019</v>
      </c>
      <c r="U104" s="14">
        <f t="shared" si="15"/>
        <v>48.601585294117655</v>
      </c>
      <c r="V104" s="14">
        <f t="shared" si="17"/>
        <v>311.01841470588238</v>
      </c>
      <c r="Z104" s="14">
        <f t="shared" si="16"/>
        <v>86.485294117647058</v>
      </c>
    </row>
    <row r="105" spans="1:26" ht="16" x14ac:dyDescent="0.2">
      <c r="A105" t="s">
        <v>43</v>
      </c>
      <c r="B105" s="1">
        <v>95</v>
      </c>
      <c r="C105" s="1">
        <v>3</v>
      </c>
      <c r="D105" s="1" t="s">
        <v>44</v>
      </c>
      <c r="E105" s="1" t="s">
        <v>45</v>
      </c>
      <c r="F105" s="1">
        <v>60</v>
      </c>
      <c r="G105" s="1">
        <v>3</v>
      </c>
      <c r="H105" s="1" t="s">
        <v>49</v>
      </c>
      <c r="I105" s="1" t="s">
        <v>50</v>
      </c>
      <c r="J105" s="1">
        <v>4</v>
      </c>
      <c r="K105" s="1" t="s">
        <v>47</v>
      </c>
      <c r="L105" s="1" t="str">
        <f t="shared" si="12"/>
        <v>95_MAS1_3_B4</v>
      </c>
      <c r="M105" s="1">
        <v>321.73</v>
      </c>
      <c r="N105" s="1">
        <v>1.2685</v>
      </c>
      <c r="O105" s="1">
        <v>2.0771999999999999</v>
      </c>
      <c r="P105" s="1">
        <v>3.181</v>
      </c>
      <c r="Q105" s="1"/>
      <c r="R105" s="14">
        <f t="shared" si="13"/>
        <v>0.16469999999999985</v>
      </c>
      <c r="S105" s="14">
        <f t="shared" si="14"/>
        <v>7.928942807625643</v>
      </c>
      <c r="U105" s="14">
        <f t="shared" si="15"/>
        <v>40.576657923497308</v>
      </c>
      <c r="V105" s="14">
        <f t="shared" si="17"/>
        <v>281.15334207650272</v>
      </c>
      <c r="Z105" s="14">
        <f t="shared" si="16"/>
        <v>87.387978142076491</v>
      </c>
    </row>
    <row r="106" spans="1:26" ht="16" x14ac:dyDescent="0.2">
      <c r="A106" t="s">
        <v>43</v>
      </c>
      <c r="B106" s="2">
        <v>96</v>
      </c>
      <c r="C106" s="2">
        <v>3</v>
      </c>
      <c r="D106" s="2" t="s">
        <v>44</v>
      </c>
      <c r="E106" s="2" t="s">
        <v>45</v>
      </c>
      <c r="F106" s="2">
        <v>60</v>
      </c>
      <c r="G106" s="2">
        <v>3</v>
      </c>
      <c r="H106" s="2" t="s">
        <v>49</v>
      </c>
      <c r="I106" s="2" t="s">
        <v>50</v>
      </c>
      <c r="J106" s="2">
        <v>5</v>
      </c>
      <c r="K106" s="3" t="s">
        <v>48</v>
      </c>
      <c r="L106" s="2" t="str">
        <f t="shared" si="12"/>
        <v>96_MAS1_3_B5</v>
      </c>
      <c r="M106" s="2">
        <v>334.64</v>
      </c>
      <c r="N106" s="2">
        <v>1.2810999999999999</v>
      </c>
      <c r="O106" s="2">
        <v>2.0175999999999998</v>
      </c>
      <c r="P106" s="2">
        <v>3.1331000000000002</v>
      </c>
      <c r="Q106" s="2"/>
      <c r="R106" s="14">
        <f t="shared" si="13"/>
        <v>0.16559999999999953</v>
      </c>
      <c r="S106" s="14">
        <f t="shared" si="14"/>
        <v>8.2077716098334434</v>
      </c>
      <c r="U106" s="14">
        <f t="shared" si="15"/>
        <v>40.771114975845521</v>
      </c>
      <c r="V106" s="14">
        <f t="shared" si="17"/>
        <v>293.86888502415445</v>
      </c>
      <c r="Z106" s="14">
        <f t="shared" si="16"/>
        <v>87.816425120772905</v>
      </c>
    </row>
    <row r="107" spans="1:26" ht="16" x14ac:dyDescent="0.2">
      <c r="A107" t="s">
        <v>43</v>
      </c>
      <c r="B107" s="1">
        <v>97</v>
      </c>
      <c r="C107" s="1">
        <v>3</v>
      </c>
      <c r="D107" s="1" t="s">
        <v>44</v>
      </c>
      <c r="E107" s="1" t="s">
        <v>45</v>
      </c>
      <c r="F107" s="1">
        <v>60</v>
      </c>
      <c r="G107" s="1">
        <v>3</v>
      </c>
      <c r="H107" s="1" t="s">
        <v>51</v>
      </c>
      <c r="I107" s="1" t="s">
        <v>50</v>
      </c>
      <c r="J107" s="1">
        <v>1</v>
      </c>
      <c r="K107" s="1" t="s">
        <v>34</v>
      </c>
      <c r="L107" s="1" t="str">
        <f t="shared" ref="L107:L138" si="18">_xlfn.CONCAT(B107,"_",D107,"_",G107,"_", H107,J107)</f>
        <v>97_MAS1_3_C1</v>
      </c>
      <c r="M107" s="1">
        <v>87.78</v>
      </c>
      <c r="N107" s="1">
        <v>1.2824</v>
      </c>
      <c r="O107" s="1">
        <v>1.2125999999999999</v>
      </c>
      <c r="P107" s="1">
        <v>2.3677999999999999</v>
      </c>
      <c r="Q107" s="1"/>
      <c r="R107" s="14">
        <f t="shared" si="13"/>
        <v>0.1272000000000002</v>
      </c>
      <c r="S107" s="14">
        <f t="shared" si="14"/>
        <v>10.489856506679878</v>
      </c>
      <c r="U107" s="14">
        <f t="shared" si="15"/>
        <v>8.3680839622641372</v>
      </c>
      <c r="V107" s="14">
        <f t="shared" si="17"/>
        <v>79.411916037735864</v>
      </c>
      <c r="Z107" s="14">
        <f t="shared" si="16"/>
        <v>90.466981132075489</v>
      </c>
    </row>
    <row r="108" spans="1:26" ht="16" x14ac:dyDescent="0.2">
      <c r="A108" t="s">
        <v>43</v>
      </c>
      <c r="B108" s="2">
        <v>98</v>
      </c>
      <c r="C108" s="2">
        <v>3</v>
      </c>
      <c r="D108" s="2" t="s">
        <v>44</v>
      </c>
      <c r="E108" s="2" t="s">
        <v>45</v>
      </c>
      <c r="F108" s="2">
        <v>60</v>
      </c>
      <c r="G108" s="2">
        <v>3</v>
      </c>
      <c r="H108" s="2" t="s">
        <v>51</v>
      </c>
      <c r="I108" s="2" t="s">
        <v>50</v>
      </c>
      <c r="J108" s="2">
        <v>2</v>
      </c>
      <c r="K108" s="3" t="s">
        <v>35</v>
      </c>
      <c r="L108" s="2" t="str">
        <f t="shared" si="18"/>
        <v>98_MAS1_3_C2</v>
      </c>
      <c r="M108" s="2">
        <v>107.97</v>
      </c>
      <c r="N108" s="2">
        <v>1.2799</v>
      </c>
      <c r="O108" s="2">
        <v>2.1128</v>
      </c>
      <c r="P108" s="2">
        <v>3.169</v>
      </c>
      <c r="Q108" s="2"/>
      <c r="R108" s="14">
        <f t="shared" si="13"/>
        <v>0.22370000000000001</v>
      </c>
      <c r="S108" s="14">
        <f t="shared" si="14"/>
        <v>10.587845513063234</v>
      </c>
      <c r="U108" s="14">
        <f t="shared" si="15"/>
        <v>10.19754206526598</v>
      </c>
      <c r="V108" s="14">
        <f t="shared" si="17"/>
        <v>97.772457934734021</v>
      </c>
      <c r="Z108" s="14">
        <f t="shared" si="16"/>
        <v>90.555207867679925</v>
      </c>
    </row>
    <row r="109" spans="1:26" ht="16" x14ac:dyDescent="0.2">
      <c r="A109" t="s">
        <v>43</v>
      </c>
      <c r="B109" s="1">
        <v>99</v>
      </c>
      <c r="C109" s="1">
        <v>3</v>
      </c>
      <c r="D109" s="1" t="s">
        <v>44</v>
      </c>
      <c r="E109" s="1" t="s">
        <v>45</v>
      </c>
      <c r="F109" s="1">
        <v>60</v>
      </c>
      <c r="G109" s="1">
        <v>3</v>
      </c>
      <c r="H109" s="1" t="s">
        <v>51</v>
      </c>
      <c r="I109" s="1" t="s">
        <v>50</v>
      </c>
      <c r="J109" s="1">
        <v>3</v>
      </c>
      <c r="K109" s="1" t="s">
        <v>46</v>
      </c>
      <c r="L109" s="1" t="str">
        <f t="shared" si="18"/>
        <v>99_MAS1_3_C3</v>
      </c>
      <c r="M109" s="1">
        <v>340.41</v>
      </c>
      <c r="N109" s="1">
        <v>1.2806</v>
      </c>
      <c r="O109" s="1">
        <v>2.1574</v>
      </c>
      <c r="P109" s="1">
        <v>3.2397999999999998</v>
      </c>
      <c r="Q109" s="1"/>
      <c r="R109" s="14">
        <f t="shared" si="13"/>
        <v>0.19819999999999993</v>
      </c>
      <c r="S109" s="14">
        <f t="shared" si="14"/>
        <v>9.1869843329934149</v>
      </c>
      <c r="U109" s="14">
        <f t="shared" si="15"/>
        <v>37.053508274470246</v>
      </c>
      <c r="V109" s="14">
        <f t="shared" si="17"/>
        <v>303.35649172552979</v>
      </c>
      <c r="Z109" s="14">
        <f t="shared" si="16"/>
        <v>89.115035317860745</v>
      </c>
    </row>
    <row r="110" spans="1:26" ht="16" x14ac:dyDescent="0.2">
      <c r="A110" t="s">
        <v>43</v>
      </c>
      <c r="B110" s="2">
        <v>100</v>
      </c>
      <c r="C110" s="2">
        <v>3</v>
      </c>
      <c r="D110" s="2" t="s">
        <v>44</v>
      </c>
      <c r="E110" s="2" t="s">
        <v>45</v>
      </c>
      <c r="F110" s="2">
        <v>60</v>
      </c>
      <c r="G110" s="2">
        <v>3</v>
      </c>
      <c r="H110" s="2" t="s">
        <v>51</v>
      </c>
      <c r="I110" s="2" t="s">
        <v>50</v>
      </c>
      <c r="J110" s="2">
        <v>4</v>
      </c>
      <c r="K110" s="3" t="s">
        <v>47</v>
      </c>
      <c r="L110" s="2" t="str">
        <f t="shared" si="18"/>
        <v>100_MAS1_3_C4</v>
      </c>
      <c r="M110" s="2">
        <v>335.73</v>
      </c>
      <c r="N110" s="2">
        <v>1.2750999999999999</v>
      </c>
      <c r="O110" s="2">
        <v>2.1368999999999998</v>
      </c>
      <c r="P110" s="2">
        <v>3.1783999999999999</v>
      </c>
      <c r="Q110" s="2"/>
      <c r="R110" s="14">
        <f t="shared" si="13"/>
        <v>0.23360000000000003</v>
      </c>
      <c r="S110" s="14">
        <f t="shared" si="14"/>
        <v>10.931723524732091</v>
      </c>
      <c r="U110" s="14">
        <f t="shared" si="15"/>
        <v>30.711534118150681</v>
      </c>
      <c r="V110" s="14">
        <f t="shared" si="17"/>
        <v>305.01846588184935</v>
      </c>
      <c r="Z110" s="14">
        <f t="shared" si="16"/>
        <v>90.85231164383562</v>
      </c>
    </row>
    <row r="111" spans="1:26" ht="16" x14ac:dyDescent="0.2">
      <c r="A111" t="s">
        <v>43</v>
      </c>
      <c r="B111" s="1">
        <v>101</v>
      </c>
      <c r="C111" s="1">
        <v>3</v>
      </c>
      <c r="D111" s="1" t="s">
        <v>44</v>
      </c>
      <c r="E111" s="1" t="s">
        <v>45</v>
      </c>
      <c r="F111" s="1">
        <v>60</v>
      </c>
      <c r="G111" s="1">
        <v>3</v>
      </c>
      <c r="H111" s="1" t="s">
        <v>51</v>
      </c>
      <c r="I111" s="1" t="s">
        <v>50</v>
      </c>
      <c r="J111" s="1">
        <v>5</v>
      </c>
      <c r="K111" s="1" t="s">
        <v>48</v>
      </c>
      <c r="L111" s="1" t="str">
        <f t="shared" si="18"/>
        <v>101_MAS1_3_C5</v>
      </c>
      <c r="M111" s="1">
        <v>304.74</v>
      </c>
      <c r="N111" s="1">
        <v>1.2791999999999999</v>
      </c>
      <c r="O111" s="1">
        <v>2.1076000000000001</v>
      </c>
      <c r="P111" s="1">
        <v>3.15</v>
      </c>
      <c r="Q111" s="1"/>
      <c r="R111" s="14">
        <f t="shared" si="13"/>
        <v>0.23680000000000012</v>
      </c>
      <c r="S111" s="14">
        <f t="shared" si="14"/>
        <v>11.235528563294748</v>
      </c>
      <c r="U111" s="14">
        <f t="shared" si="15"/>
        <v>27.122889527027016</v>
      </c>
      <c r="V111" s="14">
        <f t="shared" si="17"/>
        <v>277.61711047297297</v>
      </c>
      <c r="Z111" s="14">
        <f t="shared" si="16"/>
        <v>91.099662162162147</v>
      </c>
    </row>
    <row r="112" spans="1:26" ht="16" x14ac:dyDescent="0.2">
      <c r="A112" t="s">
        <v>43</v>
      </c>
      <c r="B112" s="2">
        <v>102</v>
      </c>
      <c r="C112" s="2">
        <v>3</v>
      </c>
      <c r="D112" s="2" t="s">
        <v>44</v>
      </c>
      <c r="E112" s="2" t="s">
        <v>45</v>
      </c>
      <c r="F112" s="2">
        <v>60</v>
      </c>
      <c r="G112" s="2">
        <v>4</v>
      </c>
      <c r="H112" s="2" t="s">
        <v>32</v>
      </c>
      <c r="I112" s="2" t="s">
        <v>33</v>
      </c>
      <c r="J112" s="2">
        <v>1</v>
      </c>
      <c r="K112" s="3" t="s">
        <v>34</v>
      </c>
      <c r="L112" s="2" t="str">
        <f t="shared" si="18"/>
        <v>102_MAS1_4_A1</v>
      </c>
      <c r="M112" s="2">
        <v>95.44</v>
      </c>
      <c r="N112" s="2">
        <v>1.2810999999999999</v>
      </c>
      <c r="O112" s="2">
        <v>2.1431</v>
      </c>
      <c r="P112" s="2">
        <v>3.3687</v>
      </c>
      <c r="Q112" s="2"/>
      <c r="R112" s="14">
        <f t="shared" si="13"/>
        <v>5.5499999999999883E-2</v>
      </c>
      <c r="S112" s="14">
        <f t="shared" si="14"/>
        <v>2.5897064999300023</v>
      </c>
      <c r="U112" s="14">
        <f t="shared" si="15"/>
        <v>36.853597117117197</v>
      </c>
      <c r="V112" s="14">
        <f t="shared" si="17"/>
        <v>58.586402882882801</v>
      </c>
      <c r="Z112" s="14">
        <f t="shared" si="16"/>
        <v>61.385585585585503</v>
      </c>
    </row>
    <row r="113" spans="1:26" ht="16" x14ac:dyDescent="0.2">
      <c r="A113" t="s">
        <v>43</v>
      </c>
      <c r="B113" s="1">
        <v>103</v>
      </c>
      <c r="C113" s="1">
        <v>3</v>
      </c>
      <c r="D113" s="1" t="s">
        <v>44</v>
      </c>
      <c r="E113" s="1" t="s">
        <v>45</v>
      </c>
      <c r="F113" s="1">
        <v>60</v>
      </c>
      <c r="G113" s="1">
        <v>4</v>
      </c>
      <c r="H113" s="1" t="s">
        <v>32</v>
      </c>
      <c r="I113" s="1" t="s">
        <v>33</v>
      </c>
      <c r="J113" s="1">
        <v>2</v>
      </c>
      <c r="K113" s="1" t="s">
        <v>35</v>
      </c>
      <c r="L113" s="1" t="str">
        <f t="shared" si="18"/>
        <v>103_MAS1_4_A2</v>
      </c>
      <c r="M113" s="1">
        <v>93.16</v>
      </c>
      <c r="N113" s="1">
        <v>1.2827</v>
      </c>
      <c r="O113" s="1">
        <v>2.1171000000000002</v>
      </c>
      <c r="P113" s="1">
        <v>3.2494999999999998</v>
      </c>
      <c r="Q113" s="1"/>
      <c r="R113" s="14">
        <f t="shared" si="13"/>
        <v>0.1503000000000001</v>
      </c>
      <c r="S113" s="14">
        <f t="shared" si="14"/>
        <v>7.0993339946152796</v>
      </c>
      <c r="U113" s="14">
        <f t="shared" si="15"/>
        <v>13.12235768463073</v>
      </c>
      <c r="V113" s="14">
        <f t="shared" si="17"/>
        <v>80.037642315369268</v>
      </c>
      <c r="Z113" s="14">
        <f t="shared" si="16"/>
        <v>85.914171656686634</v>
      </c>
    </row>
    <row r="114" spans="1:26" ht="16" x14ac:dyDescent="0.2">
      <c r="A114" t="s">
        <v>43</v>
      </c>
      <c r="B114" s="2">
        <v>104</v>
      </c>
      <c r="C114" s="2">
        <v>3</v>
      </c>
      <c r="D114" s="2" t="s">
        <v>44</v>
      </c>
      <c r="E114" s="2" t="s">
        <v>45</v>
      </c>
      <c r="F114" s="2">
        <v>60</v>
      </c>
      <c r="G114" s="2">
        <v>4</v>
      </c>
      <c r="H114" s="2" t="s">
        <v>32</v>
      </c>
      <c r="I114" s="2" t="s">
        <v>33</v>
      </c>
      <c r="J114" s="2">
        <v>3</v>
      </c>
      <c r="K114" s="3" t="s">
        <v>46</v>
      </c>
      <c r="L114" s="2" t="str">
        <f t="shared" si="18"/>
        <v>104_MAS1_4_A3</v>
      </c>
      <c r="M114" s="2">
        <v>295.01</v>
      </c>
      <c r="N114" s="2">
        <v>1.2607999999999999</v>
      </c>
      <c r="O114" s="2">
        <v>2.0895000000000001</v>
      </c>
      <c r="P114" s="2">
        <v>3.1968999999999999</v>
      </c>
      <c r="Q114" s="2"/>
      <c r="R114" s="14">
        <f t="shared" si="13"/>
        <v>0.15339999999999998</v>
      </c>
      <c r="S114" s="14">
        <f t="shared" si="14"/>
        <v>7.3414692510169886</v>
      </c>
      <c r="U114" s="14">
        <f t="shared" si="15"/>
        <v>40.184054432855284</v>
      </c>
      <c r="V114" s="14">
        <f t="shared" si="17"/>
        <v>254.82594556714471</v>
      </c>
      <c r="Z114" s="14">
        <f t="shared" si="16"/>
        <v>86.378748370273797</v>
      </c>
    </row>
    <row r="115" spans="1:26" ht="16" x14ac:dyDescent="0.2">
      <c r="A115" t="s">
        <v>43</v>
      </c>
      <c r="B115" s="1">
        <v>105</v>
      </c>
      <c r="C115" s="1">
        <v>3</v>
      </c>
      <c r="D115" s="1" t="s">
        <v>44</v>
      </c>
      <c r="E115" s="1" t="s">
        <v>45</v>
      </c>
      <c r="F115" s="1">
        <v>60</v>
      </c>
      <c r="G115" s="1">
        <v>4</v>
      </c>
      <c r="H115" s="1" t="s">
        <v>32</v>
      </c>
      <c r="I115" s="1" t="s">
        <v>33</v>
      </c>
      <c r="J115" s="1">
        <v>4</v>
      </c>
      <c r="K115" s="1" t="s">
        <v>47</v>
      </c>
      <c r="L115" s="1" t="str">
        <f t="shared" si="18"/>
        <v>105_MAS1_4_A4</v>
      </c>
      <c r="M115" s="1">
        <v>291.52</v>
      </c>
      <c r="N115" s="1">
        <v>1.2881</v>
      </c>
      <c r="O115" s="1">
        <v>2.3109000000000002</v>
      </c>
      <c r="P115" s="1">
        <v>3.3763999999999998</v>
      </c>
      <c r="Q115" s="1"/>
      <c r="R115" s="14">
        <f t="shared" si="13"/>
        <v>0.22260000000000035</v>
      </c>
      <c r="S115" s="14">
        <f t="shared" si="14"/>
        <v>9.6326106711670931</v>
      </c>
      <c r="U115" s="14">
        <f t="shared" si="15"/>
        <v>30.263861994609115</v>
      </c>
      <c r="V115" s="14">
        <f t="shared" si="17"/>
        <v>261.25613800539088</v>
      </c>
      <c r="Z115" s="14">
        <f t="shared" si="16"/>
        <v>89.618598382749354</v>
      </c>
    </row>
    <row r="116" spans="1:26" ht="16" x14ac:dyDescent="0.2">
      <c r="A116" t="s">
        <v>43</v>
      </c>
      <c r="B116" s="2">
        <v>106</v>
      </c>
      <c r="C116" s="2">
        <v>3</v>
      </c>
      <c r="D116" s="2" t="s">
        <v>44</v>
      </c>
      <c r="E116" s="2" t="s">
        <v>45</v>
      </c>
      <c r="F116" s="2">
        <v>60</v>
      </c>
      <c r="G116" s="2">
        <v>4</v>
      </c>
      <c r="H116" s="2" t="s">
        <v>32</v>
      </c>
      <c r="I116" s="2" t="s">
        <v>33</v>
      </c>
      <c r="J116" s="2">
        <v>5</v>
      </c>
      <c r="K116" s="3" t="s">
        <v>48</v>
      </c>
      <c r="L116" s="2" t="str">
        <f t="shared" si="18"/>
        <v>106_MAS1_4_A5</v>
      </c>
      <c r="M116" s="2">
        <v>297.60000000000002</v>
      </c>
      <c r="N116" s="2">
        <v>1.282</v>
      </c>
      <c r="O116" s="2">
        <v>2.4278</v>
      </c>
      <c r="P116" s="2">
        <v>3.4542999999999999</v>
      </c>
      <c r="Q116" s="2"/>
      <c r="R116" s="14">
        <f t="shared" si="13"/>
        <v>0.25550000000000006</v>
      </c>
      <c r="S116" s="14">
        <f t="shared" si="14"/>
        <v>10.523931131065165</v>
      </c>
      <c r="U116" s="14">
        <f t="shared" si="15"/>
        <v>28.278406262230913</v>
      </c>
      <c r="V116" s="14">
        <f t="shared" si="17"/>
        <v>269.32159373776909</v>
      </c>
      <c r="Z116" s="14">
        <f t="shared" si="16"/>
        <v>90.497847358121334</v>
      </c>
    </row>
    <row r="117" spans="1:26" ht="16" x14ac:dyDescent="0.2">
      <c r="A117" t="s">
        <v>43</v>
      </c>
      <c r="B117" s="1">
        <v>107</v>
      </c>
      <c r="C117" s="1">
        <v>3</v>
      </c>
      <c r="D117" s="1" t="s">
        <v>44</v>
      </c>
      <c r="E117" s="1" t="s">
        <v>45</v>
      </c>
      <c r="F117" s="1">
        <v>60</v>
      </c>
      <c r="G117" s="1">
        <v>5</v>
      </c>
      <c r="H117" s="1" t="s">
        <v>32</v>
      </c>
      <c r="I117" s="1" t="s">
        <v>33</v>
      </c>
      <c r="J117" s="1">
        <v>1</v>
      </c>
      <c r="K117" s="1" t="s">
        <v>34</v>
      </c>
      <c r="L117" s="1" t="str">
        <f t="shared" si="18"/>
        <v>107_MAS1_5_A1</v>
      </c>
      <c r="M117" s="1">
        <v>179.39</v>
      </c>
      <c r="N117" s="1">
        <v>1.2849999999999999</v>
      </c>
      <c r="O117" s="1">
        <v>2.2839999999999998</v>
      </c>
      <c r="P117" s="1">
        <v>3.4174000000000002</v>
      </c>
      <c r="Q117" s="1"/>
      <c r="R117" s="14">
        <f t="shared" si="13"/>
        <v>0.15159999999999973</v>
      </c>
      <c r="S117" s="14">
        <f t="shared" si="14"/>
        <v>6.6374781085814254</v>
      </c>
      <c r="U117" s="14">
        <f t="shared" si="15"/>
        <v>27.026831134564684</v>
      </c>
      <c r="V117" s="14">
        <f t="shared" si="17"/>
        <v>152.36316886543531</v>
      </c>
      <c r="Z117" s="14">
        <f t="shared" si="16"/>
        <v>84.934036939313955</v>
      </c>
    </row>
    <row r="118" spans="1:26" ht="16" x14ac:dyDescent="0.2">
      <c r="A118" t="s">
        <v>43</v>
      </c>
      <c r="B118" s="2">
        <v>108</v>
      </c>
      <c r="C118" s="2">
        <v>3</v>
      </c>
      <c r="D118" s="2" t="s">
        <v>44</v>
      </c>
      <c r="E118" s="2" t="s">
        <v>45</v>
      </c>
      <c r="F118" s="2">
        <v>60</v>
      </c>
      <c r="G118" s="2">
        <v>5</v>
      </c>
      <c r="H118" s="2" t="s">
        <v>32</v>
      </c>
      <c r="I118" s="2" t="s">
        <v>33</v>
      </c>
      <c r="J118" s="2">
        <v>2</v>
      </c>
      <c r="K118" s="3" t="s">
        <v>35</v>
      </c>
      <c r="L118" s="2" t="str">
        <f t="shared" si="18"/>
        <v>108_MAS1_5_A2</v>
      </c>
      <c r="M118" s="2">
        <v>352.68</v>
      </c>
      <c r="N118" s="2">
        <v>1.2828999999999999</v>
      </c>
      <c r="O118" s="2">
        <v>2.1124000000000001</v>
      </c>
      <c r="P118" s="2">
        <v>3.2303999999999999</v>
      </c>
      <c r="Q118" s="2"/>
      <c r="R118" s="14">
        <f t="shared" si="13"/>
        <v>0.16489999999999982</v>
      </c>
      <c r="S118" s="14">
        <f t="shared" si="14"/>
        <v>7.8062866881272397</v>
      </c>
      <c r="U118" s="14">
        <f t="shared" si="15"/>
        <v>45.17897101273504</v>
      </c>
      <c r="V118" s="14">
        <f t="shared" si="17"/>
        <v>307.50102898726499</v>
      </c>
      <c r="Z118" s="14">
        <f t="shared" si="16"/>
        <v>87.189812007277141</v>
      </c>
    </row>
    <row r="119" spans="1:26" ht="16" x14ac:dyDescent="0.2">
      <c r="A119" t="s">
        <v>43</v>
      </c>
      <c r="B119" s="1">
        <v>109</v>
      </c>
      <c r="C119" s="1">
        <v>3</v>
      </c>
      <c r="D119" s="1" t="s">
        <v>44</v>
      </c>
      <c r="E119" s="1" t="s">
        <v>45</v>
      </c>
      <c r="F119" s="1">
        <v>60</v>
      </c>
      <c r="G119" s="1">
        <v>5</v>
      </c>
      <c r="H119" s="1" t="s">
        <v>32</v>
      </c>
      <c r="I119" s="1" t="s">
        <v>33</v>
      </c>
      <c r="J119" s="1">
        <v>3</v>
      </c>
      <c r="K119" s="1" t="s">
        <v>46</v>
      </c>
      <c r="L119" s="1" t="str">
        <f t="shared" si="18"/>
        <v>109_MAS1_5_A3</v>
      </c>
      <c r="M119" s="1">
        <v>312.04000000000002</v>
      </c>
      <c r="N119" s="1">
        <v>1.2841</v>
      </c>
      <c r="O119" s="1">
        <v>2.4514999999999998</v>
      </c>
      <c r="P119" s="1">
        <v>3.5066999999999999</v>
      </c>
      <c r="Q119" s="1"/>
      <c r="R119" s="14">
        <f t="shared" si="13"/>
        <v>0.22889999999999988</v>
      </c>
      <c r="S119" s="14">
        <f t="shared" si="14"/>
        <v>9.3371405262084401</v>
      </c>
      <c r="U119" s="14">
        <f t="shared" si="15"/>
        <v>33.419224989078216</v>
      </c>
      <c r="V119" s="14">
        <f t="shared" si="17"/>
        <v>278.62077501092182</v>
      </c>
      <c r="Z119" s="14">
        <f t="shared" si="16"/>
        <v>89.290083005679335</v>
      </c>
    </row>
    <row r="120" spans="1:26" ht="16" x14ac:dyDescent="0.2">
      <c r="A120" t="s">
        <v>43</v>
      </c>
      <c r="B120" s="2">
        <v>110</v>
      </c>
      <c r="C120" s="2">
        <v>3</v>
      </c>
      <c r="D120" s="2" t="s">
        <v>44</v>
      </c>
      <c r="E120" s="2" t="s">
        <v>45</v>
      </c>
      <c r="F120" s="2">
        <v>60</v>
      </c>
      <c r="G120" s="2">
        <v>5</v>
      </c>
      <c r="H120" s="2" t="s">
        <v>32</v>
      </c>
      <c r="I120" s="2" t="s">
        <v>33</v>
      </c>
      <c r="J120" s="2">
        <v>4</v>
      </c>
      <c r="K120" s="3" t="s">
        <v>47</v>
      </c>
      <c r="L120" s="2" t="str">
        <f t="shared" si="18"/>
        <v>110_MAS1_5_A4</v>
      </c>
      <c r="M120" s="2">
        <v>258.85000000000002</v>
      </c>
      <c r="N120" s="2">
        <v>1.2470000000000001</v>
      </c>
      <c r="O120" s="2">
        <v>2.3498999999999999</v>
      </c>
      <c r="P120" s="2">
        <v>3.4470999999999998</v>
      </c>
      <c r="Q120" s="2"/>
      <c r="R120" s="14">
        <f t="shared" si="13"/>
        <v>0.14979999999999993</v>
      </c>
      <c r="S120" s="14">
        <f t="shared" si="14"/>
        <v>6.3747393506106613</v>
      </c>
      <c r="U120" s="14">
        <f t="shared" si="15"/>
        <v>40.605581775700955</v>
      </c>
      <c r="V120" s="14">
        <f t="shared" si="17"/>
        <v>218.24441822429907</v>
      </c>
      <c r="Z120" s="14">
        <f t="shared" si="16"/>
        <v>84.313084112149525</v>
      </c>
    </row>
    <row r="121" spans="1:26" ht="16" x14ac:dyDescent="0.2">
      <c r="A121" t="s">
        <v>43</v>
      </c>
      <c r="B121" s="1">
        <v>111</v>
      </c>
      <c r="C121" s="1">
        <v>3</v>
      </c>
      <c r="D121" s="1" t="s">
        <v>44</v>
      </c>
      <c r="E121" s="1" t="s">
        <v>45</v>
      </c>
      <c r="F121" s="1">
        <v>60</v>
      </c>
      <c r="G121" s="1">
        <v>5</v>
      </c>
      <c r="H121" s="1" t="s">
        <v>32</v>
      </c>
      <c r="I121" s="1" t="s">
        <v>33</v>
      </c>
      <c r="J121" s="1">
        <v>5</v>
      </c>
      <c r="K121" s="1" t="s">
        <v>48</v>
      </c>
      <c r="L121" s="1" t="str">
        <f t="shared" si="18"/>
        <v>111_MAS1_5_A5</v>
      </c>
      <c r="M121" s="1"/>
      <c r="N121" s="1"/>
      <c r="O121" s="1"/>
      <c r="P121" s="1"/>
      <c r="Q121" s="1"/>
      <c r="R121" s="14">
        <f t="shared" si="13"/>
        <v>0</v>
      </c>
      <c r="S121" s="14" t="e">
        <f t="shared" si="14"/>
        <v>#DIV/0!</v>
      </c>
      <c r="U121" s="14" t="e">
        <f t="shared" si="15"/>
        <v>#DIV/0!</v>
      </c>
      <c r="V121" s="14" t="e">
        <f t="shared" si="17"/>
        <v>#DIV/0!</v>
      </c>
      <c r="Z121" s="14" t="e">
        <f t="shared" si="16"/>
        <v>#DIV/0!</v>
      </c>
    </row>
    <row r="122" spans="1:26" ht="16" x14ac:dyDescent="0.2">
      <c r="A122" t="s">
        <v>43</v>
      </c>
      <c r="B122" s="2">
        <v>112</v>
      </c>
      <c r="C122" s="2">
        <v>3</v>
      </c>
      <c r="D122" s="2" t="s">
        <v>44</v>
      </c>
      <c r="E122" s="2" t="s">
        <v>45</v>
      </c>
      <c r="F122" s="2">
        <v>60</v>
      </c>
      <c r="G122" s="2">
        <v>5</v>
      </c>
      <c r="H122" s="2" t="s">
        <v>49</v>
      </c>
      <c r="I122" s="2" t="s">
        <v>50</v>
      </c>
      <c r="J122" s="2">
        <v>1</v>
      </c>
      <c r="K122" s="3" t="s">
        <v>34</v>
      </c>
      <c r="L122" s="2" t="str">
        <f t="shared" si="18"/>
        <v>112_MAS1_5_B1</v>
      </c>
      <c r="M122" s="2">
        <v>92.49</v>
      </c>
      <c r="N122" s="2">
        <v>1.2806</v>
      </c>
      <c r="O122" s="2">
        <v>2.0129000000000001</v>
      </c>
      <c r="P122" s="2">
        <v>3.1798000000000002</v>
      </c>
      <c r="Q122" s="2"/>
      <c r="R122" s="14">
        <f t="shared" si="13"/>
        <v>0.11369999999999969</v>
      </c>
      <c r="S122" s="14">
        <f t="shared" si="14"/>
        <v>5.6485667444979724</v>
      </c>
      <c r="U122" s="14">
        <f t="shared" si="15"/>
        <v>16.374065171504004</v>
      </c>
      <c r="V122" s="14">
        <f t="shared" si="17"/>
        <v>76.115934828495995</v>
      </c>
      <c r="Z122" s="14">
        <f t="shared" si="16"/>
        <v>82.296394019349123</v>
      </c>
    </row>
    <row r="123" spans="1:26" ht="16" x14ac:dyDescent="0.2">
      <c r="A123" t="s">
        <v>43</v>
      </c>
      <c r="B123" s="1">
        <v>113</v>
      </c>
      <c r="C123" s="1">
        <v>3</v>
      </c>
      <c r="D123" s="1" t="s">
        <v>44</v>
      </c>
      <c r="E123" s="1" t="s">
        <v>45</v>
      </c>
      <c r="F123" s="1">
        <v>60</v>
      </c>
      <c r="G123" s="1">
        <v>5</v>
      </c>
      <c r="H123" s="1" t="s">
        <v>49</v>
      </c>
      <c r="I123" s="1" t="s">
        <v>50</v>
      </c>
      <c r="J123" s="1">
        <v>2</v>
      </c>
      <c r="K123" s="1" t="s">
        <v>35</v>
      </c>
      <c r="L123" s="1" t="str">
        <f t="shared" si="18"/>
        <v>113_MAS1_5_B2</v>
      </c>
      <c r="M123" s="1">
        <v>104.33</v>
      </c>
      <c r="N123" s="1">
        <v>1.2750999999999999</v>
      </c>
      <c r="O123" s="1">
        <v>2.8411</v>
      </c>
      <c r="P123" s="1">
        <v>3.8639000000000001</v>
      </c>
      <c r="Q123" s="1"/>
      <c r="R123" s="14">
        <f t="shared" si="13"/>
        <v>0.25229999999999997</v>
      </c>
      <c r="S123" s="14">
        <f t="shared" si="14"/>
        <v>8.8803632395902987</v>
      </c>
      <c r="U123" s="14">
        <f t="shared" si="15"/>
        <v>11.74839330162505</v>
      </c>
      <c r="V123" s="14">
        <f t="shared" si="17"/>
        <v>92.581606698374941</v>
      </c>
      <c r="Z123" s="14">
        <f t="shared" si="16"/>
        <v>88.739199365834324</v>
      </c>
    </row>
    <row r="124" spans="1:26" ht="16" x14ac:dyDescent="0.2">
      <c r="A124" t="s">
        <v>43</v>
      </c>
      <c r="B124" s="2">
        <v>114</v>
      </c>
      <c r="C124" s="2">
        <v>3</v>
      </c>
      <c r="D124" s="2" t="s">
        <v>44</v>
      </c>
      <c r="E124" s="2" t="s">
        <v>45</v>
      </c>
      <c r="F124" s="2">
        <v>60</v>
      </c>
      <c r="G124" s="2">
        <v>5</v>
      </c>
      <c r="H124" s="2" t="s">
        <v>49</v>
      </c>
      <c r="I124" s="2" t="s">
        <v>50</v>
      </c>
      <c r="J124" s="2">
        <v>3</v>
      </c>
      <c r="K124" s="3" t="s">
        <v>46</v>
      </c>
      <c r="L124" s="2" t="str">
        <f t="shared" si="18"/>
        <v>114_MAS1_5_B3</v>
      </c>
      <c r="M124" s="2">
        <v>354.5</v>
      </c>
      <c r="N124" s="2">
        <v>1.2748999999999999</v>
      </c>
      <c r="O124" s="2">
        <v>2.3129</v>
      </c>
      <c r="P124" s="2">
        <v>3.4214000000000002</v>
      </c>
      <c r="Q124" s="2"/>
      <c r="R124" s="14">
        <f t="shared" si="13"/>
        <v>0.16639999999999944</v>
      </c>
      <c r="S124" s="14">
        <f t="shared" si="14"/>
        <v>7.1944312335163403</v>
      </c>
      <c r="U124" s="14">
        <f t="shared" si="15"/>
        <v>49.274221754807861</v>
      </c>
      <c r="V124" s="14">
        <f t="shared" si="17"/>
        <v>305.22577824519215</v>
      </c>
      <c r="Z124" s="14">
        <f t="shared" si="16"/>
        <v>86.100360576923023</v>
      </c>
    </row>
    <row r="125" spans="1:26" ht="16" x14ac:dyDescent="0.2">
      <c r="A125" t="s">
        <v>43</v>
      </c>
      <c r="B125" s="1">
        <v>115</v>
      </c>
      <c r="C125" s="1">
        <v>3</v>
      </c>
      <c r="D125" s="1" t="s">
        <v>44</v>
      </c>
      <c r="E125" s="1" t="s">
        <v>45</v>
      </c>
      <c r="F125" s="1">
        <v>60</v>
      </c>
      <c r="G125" s="1">
        <v>5</v>
      </c>
      <c r="H125" s="1" t="s">
        <v>49</v>
      </c>
      <c r="I125" s="1" t="s">
        <v>50</v>
      </c>
      <c r="J125" s="1">
        <v>4</v>
      </c>
      <c r="K125" s="1" t="s">
        <v>47</v>
      </c>
      <c r="L125" s="1" t="str">
        <f t="shared" si="18"/>
        <v>115_MAS1_5_B4</v>
      </c>
      <c r="M125" s="1">
        <v>306.2</v>
      </c>
      <c r="N125" s="1">
        <v>1.2786</v>
      </c>
      <c r="O125" s="1">
        <v>2.6577000000000002</v>
      </c>
      <c r="P125" s="1">
        <v>3.7473000000000001</v>
      </c>
      <c r="Q125" s="1"/>
      <c r="R125" s="14">
        <f t="shared" si="13"/>
        <v>0.18900000000000006</v>
      </c>
      <c r="S125" s="14">
        <f t="shared" si="14"/>
        <v>7.1114121232644782</v>
      </c>
      <c r="U125" s="14">
        <f t="shared" si="15"/>
        <v>43.057552380952373</v>
      </c>
      <c r="V125" s="14">
        <f t="shared" si="17"/>
        <v>263.14244761904763</v>
      </c>
      <c r="Z125" s="14">
        <f t="shared" si="16"/>
        <v>85.938095238095244</v>
      </c>
    </row>
    <row r="126" spans="1:26" ht="16" x14ac:dyDescent="0.2">
      <c r="A126" t="s">
        <v>43</v>
      </c>
      <c r="B126" s="2">
        <v>116</v>
      </c>
      <c r="C126" s="2">
        <v>3</v>
      </c>
      <c r="D126" s="2" t="s">
        <v>44</v>
      </c>
      <c r="E126" s="2" t="s">
        <v>45</v>
      </c>
      <c r="F126" s="2">
        <v>60</v>
      </c>
      <c r="G126" s="2">
        <v>5</v>
      </c>
      <c r="H126" s="2" t="s">
        <v>49</v>
      </c>
      <c r="I126" s="2" t="s">
        <v>50</v>
      </c>
      <c r="J126" s="2">
        <v>5</v>
      </c>
      <c r="K126" s="3" t="s">
        <v>48</v>
      </c>
      <c r="L126" s="2" t="str">
        <f t="shared" si="18"/>
        <v>116_MAS1_5_B5</v>
      </c>
      <c r="M126" s="2">
        <v>305.85000000000002</v>
      </c>
      <c r="N126" s="2">
        <v>1.2841</v>
      </c>
      <c r="O126" s="2">
        <v>2.2501000000000002</v>
      </c>
      <c r="P126" s="2">
        <v>3.3502999999999998</v>
      </c>
      <c r="Q126" s="2"/>
      <c r="R126" s="14">
        <f t="shared" si="13"/>
        <v>0.1839000000000004</v>
      </c>
      <c r="S126" s="14">
        <f t="shared" si="14"/>
        <v>8.1729700902182287</v>
      </c>
      <c r="U126" s="14">
        <f t="shared" si="15"/>
        <v>37.422136215334348</v>
      </c>
      <c r="V126" s="14">
        <f t="shared" si="17"/>
        <v>268.42786378466565</v>
      </c>
      <c r="Z126" s="14">
        <f t="shared" si="16"/>
        <v>87.764545948885271</v>
      </c>
    </row>
    <row r="127" spans="1:26" ht="16" x14ac:dyDescent="0.2">
      <c r="A127" t="s">
        <v>43</v>
      </c>
      <c r="B127" s="1">
        <v>117</v>
      </c>
      <c r="C127" s="1">
        <v>3</v>
      </c>
      <c r="D127" s="1" t="s">
        <v>44</v>
      </c>
      <c r="E127" s="1" t="s">
        <v>45</v>
      </c>
      <c r="F127" s="1">
        <v>60</v>
      </c>
      <c r="G127" s="1">
        <v>5</v>
      </c>
      <c r="H127" s="1" t="s">
        <v>51</v>
      </c>
      <c r="I127" s="1" t="s">
        <v>50</v>
      </c>
      <c r="J127" s="1">
        <v>1</v>
      </c>
      <c r="K127" s="1" t="s">
        <v>34</v>
      </c>
      <c r="L127" s="1" t="str">
        <f t="shared" si="18"/>
        <v>117_MAS1_5_C1</v>
      </c>
      <c r="M127" s="1">
        <v>110.44</v>
      </c>
      <c r="N127" s="1">
        <v>1.2765</v>
      </c>
      <c r="O127" s="1">
        <v>2.1301000000000001</v>
      </c>
      <c r="P127" s="1">
        <v>3.0364</v>
      </c>
      <c r="Q127" s="1"/>
      <c r="R127" s="14">
        <f t="shared" si="13"/>
        <v>0.37020000000000008</v>
      </c>
      <c r="S127" s="14">
        <f t="shared" si="14"/>
        <v>17.379465752781563</v>
      </c>
      <c r="U127" s="14">
        <f t="shared" si="15"/>
        <v>6.3546257158292798</v>
      </c>
      <c r="V127" s="14">
        <f t="shared" si="17"/>
        <v>104.08537428417071</v>
      </c>
      <c r="Z127" s="14">
        <f t="shared" si="16"/>
        <v>94.246083198271208</v>
      </c>
    </row>
    <row r="128" spans="1:26" ht="16" x14ac:dyDescent="0.2">
      <c r="A128" t="s">
        <v>43</v>
      </c>
      <c r="B128" s="2">
        <v>118</v>
      </c>
      <c r="C128" s="2">
        <v>3</v>
      </c>
      <c r="D128" s="2" t="s">
        <v>44</v>
      </c>
      <c r="E128" s="2" t="s">
        <v>45</v>
      </c>
      <c r="F128" s="2">
        <v>60</v>
      </c>
      <c r="G128" s="2">
        <v>5</v>
      </c>
      <c r="H128" s="2" t="s">
        <v>51</v>
      </c>
      <c r="I128" s="2" t="s">
        <v>50</v>
      </c>
      <c r="J128" s="2">
        <v>2</v>
      </c>
      <c r="K128" s="3" t="s">
        <v>35</v>
      </c>
      <c r="L128" s="2" t="str">
        <f t="shared" si="18"/>
        <v>118_MAS1_5_C2</v>
      </c>
      <c r="M128" s="2">
        <v>104.5</v>
      </c>
      <c r="N128" s="2">
        <v>1.2869999999999999</v>
      </c>
      <c r="O128" s="2">
        <v>2.2984</v>
      </c>
      <c r="P128" s="2">
        <v>3.3098999999999998</v>
      </c>
      <c r="Q128" s="2"/>
      <c r="R128" s="14">
        <f t="shared" si="13"/>
        <v>0.27550000000000008</v>
      </c>
      <c r="S128" s="14">
        <f t="shared" si="14"/>
        <v>11.986599373477205</v>
      </c>
      <c r="U128" s="14">
        <f t="shared" si="15"/>
        <v>8.7180689655172383</v>
      </c>
      <c r="V128" s="14">
        <f t="shared" si="17"/>
        <v>95.781931034482767</v>
      </c>
      <c r="Z128" s="14">
        <f t="shared" si="16"/>
        <v>91.657350272232307</v>
      </c>
    </row>
    <row r="129" spans="1:26" ht="16" x14ac:dyDescent="0.2">
      <c r="A129" t="s">
        <v>43</v>
      </c>
      <c r="B129" s="1">
        <v>119</v>
      </c>
      <c r="C129" s="1">
        <v>3</v>
      </c>
      <c r="D129" s="1" t="s">
        <v>44</v>
      </c>
      <c r="E129" s="1" t="s">
        <v>45</v>
      </c>
      <c r="F129" s="1">
        <v>60</v>
      </c>
      <c r="G129" s="1">
        <v>5</v>
      </c>
      <c r="H129" s="1" t="s">
        <v>51</v>
      </c>
      <c r="I129" s="1" t="s">
        <v>50</v>
      </c>
      <c r="J129" s="1">
        <v>3</v>
      </c>
      <c r="K129" s="1" t="s">
        <v>46</v>
      </c>
      <c r="L129" s="1" t="str">
        <f t="shared" si="18"/>
        <v>119_MAS1_5_C3</v>
      </c>
      <c r="M129" s="1">
        <v>348.05</v>
      </c>
      <c r="N129" s="1">
        <v>1.2781</v>
      </c>
      <c r="O129" s="1">
        <v>2.4781</v>
      </c>
      <c r="P129" s="1">
        <v>3.4723999999999999</v>
      </c>
      <c r="Q129" s="1"/>
      <c r="R129" s="14">
        <f t="shared" si="13"/>
        <v>0.28379999999999983</v>
      </c>
      <c r="S129" s="14">
        <f t="shared" si="14"/>
        <v>11.452322343731078</v>
      </c>
      <c r="U129" s="14">
        <f t="shared" si="15"/>
        <v>30.391215821000724</v>
      </c>
      <c r="V129" s="14">
        <f t="shared" si="17"/>
        <v>317.65878417899927</v>
      </c>
      <c r="Z129" s="14">
        <f t="shared" si="16"/>
        <v>91.268146582100059</v>
      </c>
    </row>
    <row r="130" spans="1:26" ht="16" x14ac:dyDescent="0.2">
      <c r="A130" t="s">
        <v>43</v>
      </c>
      <c r="B130" s="2">
        <v>120</v>
      </c>
      <c r="C130" s="2">
        <v>3</v>
      </c>
      <c r="D130" s="2" t="s">
        <v>44</v>
      </c>
      <c r="E130" s="2" t="s">
        <v>45</v>
      </c>
      <c r="F130" s="2">
        <v>60</v>
      </c>
      <c r="G130" s="2">
        <v>5</v>
      </c>
      <c r="H130" s="2" t="s">
        <v>51</v>
      </c>
      <c r="I130" s="2" t="s">
        <v>50</v>
      </c>
      <c r="J130" s="2">
        <v>4</v>
      </c>
      <c r="K130" s="3" t="s">
        <v>47</v>
      </c>
      <c r="L130" s="2" t="str">
        <f t="shared" si="18"/>
        <v>120_MAS1_5_C4</v>
      </c>
      <c r="M130" s="2">
        <v>298.43</v>
      </c>
      <c r="N130" s="2">
        <v>1.272</v>
      </c>
      <c r="O130" s="2">
        <v>2.1524999999999999</v>
      </c>
      <c r="P130" s="2">
        <v>3.2023000000000001</v>
      </c>
      <c r="Q130" s="2"/>
      <c r="R130" s="14">
        <f t="shared" si="13"/>
        <v>0.22219999999999995</v>
      </c>
      <c r="S130" s="14">
        <f t="shared" si="14"/>
        <v>10.322880371660858</v>
      </c>
      <c r="U130" s="14">
        <f t="shared" si="15"/>
        <v>28.909566831683172</v>
      </c>
      <c r="V130" s="14">
        <f t="shared" si="17"/>
        <v>269.52043316831686</v>
      </c>
      <c r="Z130" s="14">
        <f t="shared" si="16"/>
        <v>90.312781278127815</v>
      </c>
    </row>
    <row r="131" spans="1:26" ht="16" x14ac:dyDescent="0.2">
      <c r="A131" t="s">
        <v>43</v>
      </c>
      <c r="B131" s="1">
        <v>121</v>
      </c>
      <c r="C131" s="1">
        <v>3</v>
      </c>
      <c r="D131" s="1" t="s">
        <v>44</v>
      </c>
      <c r="E131" s="1" t="s">
        <v>45</v>
      </c>
      <c r="F131" s="1">
        <v>60</v>
      </c>
      <c r="G131" s="1">
        <v>5</v>
      </c>
      <c r="H131" s="1" t="s">
        <v>51</v>
      </c>
      <c r="I131" s="1" t="s">
        <v>50</v>
      </c>
      <c r="J131" s="1">
        <v>5</v>
      </c>
      <c r="K131" s="1" t="s">
        <v>48</v>
      </c>
      <c r="L131" s="1" t="str">
        <f t="shared" si="18"/>
        <v>121_MAS1_5_C5</v>
      </c>
      <c r="M131" s="1">
        <v>308.94</v>
      </c>
      <c r="N131" s="1">
        <v>1.2784</v>
      </c>
      <c r="O131" s="1">
        <v>2.0952000000000002</v>
      </c>
      <c r="P131" s="1">
        <v>3.1311</v>
      </c>
      <c r="Q131" s="1"/>
      <c r="R131" s="14">
        <f t="shared" si="13"/>
        <v>0.24250000000000016</v>
      </c>
      <c r="S131" s="14">
        <f t="shared" si="14"/>
        <v>11.574074074074082</v>
      </c>
      <c r="U131" s="14">
        <f t="shared" si="15"/>
        <v>26.692415999999984</v>
      </c>
      <c r="V131" s="14">
        <f t="shared" si="17"/>
        <v>282.24758400000002</v>
      </c>
      <c r="Z131" s="14">
        <f t="shared" si="16"/>
        <v>91.360000000000014</v>
      </c>
    </row>
    <row r="132" spans="1:26" ht="16" x14ac:dyDescent="0.2">
      <c r="A132" t="s">
        <v>43</v>
      </c>
      <c r="B132" s="2">
        <v>122</v>
      </c>
      <c r="C132" s="2">
        <v>4</v>
      </c>
      <c r="D132" s="2" t="s">
        <v>52</v>
      </c>
      <c r="E132" s="2" t="s">
        <v>45</v>
      </c>
      <c r="F132" s="2">
        <v>20</v>
      </c>
      <c r="G132" s="2">
        <v>1</v>
      </c>
      <c r="H132" s="2" t="s">
        <v>32</v>
      </c>
      <c r="I132" s="2" t="s">
        <v>33</v>
      </c>
      <c r="J132" s="2">
        <v>1</v>
      </c>
      <c r="K132" s="3" t="s">
        <v>34</v>
      </c>
      <c r="L132" s="2" t="str">
        <f t="shared" si="18"/>
        <v>122_MAS2_1_A1</v>
      </c>
      <c r="M132" s="2">
        <v>121.33</v>
      </c>
      <c r="N132" s="2">
        <v>1.2776000000000001</v>
      </c>
      <c r="O132" s="2">
        <v>2.1015000000000001</v>
      </c>
      <c r="P132" s="2">
        <v>3.2139000000000002</v>
      </c>
      <c r="Q132" s="2"/>
      <c r="R132" s="14">
        <f t="shared" si="13"/>
        <v>0.16520000000000001</v>
      </c>
      <c r="S132" s="14">
        <f t="shared" si="14"/>
        <v>7.8610516297882462</v>
      </c>
      <c r="U132" s="14">
        <f t="shared" si="15"/>
        <v>15.434321731234867</v>
      </c>
      <c r="V132" s="14">
        <f t="shared" si="17"/>
        <v>105.89567826876512</v>
      </c>
      <c r="Z132" s="14">
        <f t="shared" si="16"/>
        <v>87.279055690072639</v>
      </c>
    </row>
    <row r="133" spans="1:26" ht="16" x14ac:dyDescent="0.2">
      <c r="A133" t="s">
        <v>43</v>
      </c>
      <c r="B133" s="1">
        <v>123</v>
      </c>
      <c r="C133" s="1">
        <v>4</v>
      </c>
      <c r="D133" s="1" t="s">
        <v>52</v>
      </c>
      <c r="E133" s="1" t="s">
        <v>45</v>
      </c>
      <c r="F133" s="1">
        <v>20</v>
      </c>
      <c r="G133" s="1">
        <v>1</v>
      </c>
      <c r="H133" s="1" t="s">
        <v>32</v>
      </c>
      <c r="I133" s="1" t="s">
        <v>33</v>
      </c>
      <c r="J133" s="1">
        <v>2</v>
      </c>
      <c r="K133" s="1" t="s">
        <v>35</v>
      </c>
      <c r="L133" s="1" t="str">
        <f t="shared" si="18"/>
        <v>123_MAS2_1_A2</v>
      </c>
      <c r="M133" s="1">
        <v>103.1</v>
      </c>
      <c r="N133" s="1">
        <v>1.2587999999999999</v>
      </c>
      <c r="O133" s="1">
        <v>2.2524000000000002</v>
      </c>
      <c r="P133" s="1">
        <v>3.3420000000000001</v>
      </c>
      <c r="Q133" s="1"/>
      <c r="R133" s="14">
        <f t="shared" si="13"/>
        <v>0.16920000000000002</v>
      </c>
      <c r="S133" s="14">
        <f t="shared" si="14"/>
        <v>7.5119872136387853</v>
      </c>
      <c r="U133" s="14">
        <f t="shared" si="15"/>
        <v>13.724730496453899</v>
      </c>
      <c r="V133" s="14">
        <f t="shared" si="17"/>
        <v>89.375269503546093</v>
      </c>
      <c r="Z133" s="14">
        <f t="shared" si="16"/>
        <v>86.687943262411352</v>
      </c>
    </row>
    <row r="134" spans="1:26" ht="16" x14ac:dyDescent="0.2">
      <c r="A134" t="s">
        <v>43</v>
      </c>
      <c r="B134" s="2">
        <v>124</v>
      </c>
      <c r="C134" s="2">
        <v>4</v>
      </c>
      <c r="D134" s="2" t="s">
        <v>52</v>
      </c>
      <c r="E134" s="2" t="s">
        <v>45</v>
      </c>
      <c r="F134" s="2">
        <v>20</v>
      </c>
      <c r="G134" s="2">
        <v>1</v>
      </c>
      <c r="H134" s="2" t="s">
        <v>32</v>
      </c>
      <c r="I134" s="2" t="s">
        <v>33</v>
      </c>
      <c r="J134" s="2">
        <v>3</v>
      </c>
      <c r="K134" s="3" t="s">
        <v>46</v>
      </c>
      <c r="L134" s="2" t="str">
        <f t="shared" si="18"/>
        <v>124_MAS2_1_A3</v>
      </c>
      <c r="M134" s="2">
        <v>389.13</v>
      </c>
      <c r="N134" s="2">
        <v>1.2787999999999999</v>
      </c>
      <c r="O134" s="2">
        <v>1.9859</v>
      </c>
      <c r="P134" s="2">
        <v>3.1057999999999999</v>
      </c>
      <c r="Q134" s="2"/>
      <c r="R134" s="14">
        <f t="shared" si="13"/>
        <v>0.15890000000000004</v>
      </c>
      <c r="S134" s="14">
        <f t="shared" si="14"/>
        <v>8.0014099400775489</v>
      </c>
      <c r="U134" s="14">
        <f t="shared" si="15"/>
        <v>48.632678854625539</v>
      </c>
      <c r="V134" s="14">
        <f t="shared" si="17"/>
        <v>340.49732114537449</v>
      </c>
      <c r="Z134" s="14">
        <f t="shared" si="16"/>
        <v>87.502202643171813</v>
      </c>
    </row>
    <row r="135" spans="1:26" ht="16" x14ac:dyDescent="0.2">
      <c r="A135" t="s">
        <v>43</v>
      </c>
      <c r="B135" s="1">
        <v>125</v>
      </c>
      <c r="C135" s="1">
        <v>4</v>
      </c>
      <c r="D135" s="1" t="s">
        <v>52</v>
      </c>
      <c r="E135" s="1" t="s">
        <v>45</v>
      </c>
      <c r="F135" s="1">
        <v>20</v>
      </c>
      <c r="G135" s="1">
        <v>1</v>
      </c>
      <c r="H135" s="1" t="s">
        <v>32</v>
      </c>
      <c r="I135" s="1" t="s">
        <v>33</v>
      </c>
      <c r="J135" s="1">
        <v>4</v>
      </c>
      <c r="K135" s="1" t="s">
        <v>47</v>
      </c>
      <c r="L135" s="1" t="str">
        <f t="shared" si="18"/>
        <v>125_MAS2_1_A4</v>
      </c>
      <c r="M135" s="1">
        <v>343.97</v>
      </c>
      <c r="N135" s="1">
        <v>1.2783</v>
      </c>
      <c r="O135" s="1">
        <v>2.1705000000000001</v>
      </c>
      <c r="P135" s="1">
        <v>3.2524999999999999</v>
      </c>
      <c r="Q135" s="1"/>
      <c r="R135" s="14">
        <f t="shared" si="13"/>
        <v>0.19630000000000036</v>
      </c>
      <c r="S135" s="14">
        <f t="shared" si="14"/>
        <v>9.0439990785533464</v>
      </c>
      <c r="U135" s="14">
        <f t="shared" si="15"/>
        <v>38.032953897096213</v>
      </c>
      <c r="V135" s="14">
        <f t="shared" si="17"/>
        <v>305.93704610290382</v>
      </c>
      <c r="Z135" s="14">
        <f t="shared" si="16"/>
        <v>88.942944472745822</v>
      </c>
    </row>
    <row r="136" spans="1:26" ht="16" x14ac:dyDescent="0.2">
      <c r="A136" t="s">
        <v>43</v>
      </c>
      <c r="B136" s="2">
        <v>126</v>
      </c>
      <c r="C136" s="2">
        <v>4</v>
      </c>
      <c r="D136" s="2" t="s">
        <v>52</v>
      </c>
      <c r="E136" s="2" t="s">
        <v>45</v>
      </c>
      <c r="F136" s="2">
        <v>20</v>
      </c>
      <c r="G136" s="2">
        <v>1</v>
      </c>
      <c r="H136" s="2" t="s">
        <v>32</v>
      </c>
      <c r="I136" s="2" t="s">
        <v>33</v>
      </c>
      <c r="J136" s="2">
        <v>5</v>
      </c>
      <c r="K136" s="3" t="s">
        <v>48</v>
      </c>
      <c r="L136" s="2" t="str">
        <f t="shared" si="18"/>
        <v>126_MAS2_1_A5</v>
      </c>
      <c r="M136" s="2">
        <v>47.06</v>
      </c>
      <c r="N136" s="2">
        <v>1.2834000000000001</v>
      </c>
      <c r="O136" s="2">
        <v>0.81559999999999999</v>
      </c>
      <c r="P136" s="2">
        <v>2.0183</v>
      </c>
      <c r="Q136" s="2"/>
      <c r="R136" s="14">
        <f t="shared" si="13"/>
        <v>8.0700000000000216E-2</v>
      </c>
      <c r="S136" s="14">
        <f t="shared" si="14"/>
        <v>9.8945561549779573</v>
      </c>
      <c r="U136" s="14">
        <f t="shared" si="15"/>
        <v>4.7561506815365426</v>
      </c>
      <c r="V136" s="14">
        <f t="shared" si="17"/>
        <v>42.303849318463463</v>
      </c>
      <c r="Z136" s="14">
        <f t="shared" si="16"/>
        <v>89.893432465923212</v>
      </c>
    </row>
    <row r="137" spans="1:26" ht="16" x14ac:dyDescent="0.2">
      <c r="A137" t="s">
        <v>43</v>
      </c>
      <c r="B137" s="1">
        <v>127</v>
      </c>
      <c r="C137" s="1">
        <v>4</v>
      </c>
      <c r="D137" s="1" t="s">
        <v>52</v>
      </c>
      <c r="E137" s="1" t="s">
        <v>45</v>
      </c>
      <c r="F137" s="1">
        <v>20</v>
      </c>
      <c r="G137" s="1">
        <v>1</v>
      </c>
      <c r="H137" s="1" t="s">
        <v>49</v>
      </c>
      <c r="I137" s="1" t="s">
        <v>50</v>
      </c>
      <c r="J137" s="1">
        <v>1</v>
      </c>
      <c r="K137" s="1" t="s">
        <v>34</v>
      </c>
      <c r="L137" s="1" t="str">
        <f t="shared" si="18"/>
        <v>127_MAS2_1_B1</v>
      </c>
      <c r="M137" s="1">
        <v>96.35</v>
      </c>
      <c r="N137" s="1">
        <v>1.2768999999999999</v>
      </c>
      <c r="O137" s="1">
        <v>2.6381999999999999</v>
      </c>
      <c r="P137" s="1">
        <v>3.6635</v>
      </c>
      <c r="Q137" s="1"/>
      <c r="R137" s="14">
        <f t="shared" si="13"/>
        <v>0.25159999999999982</v>
      </c>
      <c r="S137" s="14">
        <f t="shared" si="14"/>
        <v>9.5368053976195828</v>
      </c>
      <c r="U137" s="14">
        <f t="shared" si="15"/>
        <v>10.102963831478544</v>
      </c>
      <c r="V137" s="14">
        <f t="shared" si="17"/>
        <v>86.247036168521447</v>
      </c>
      <c r="Z137" s="14">
        <f t="shared" si="16"/>
        <v>89.514308426073114</v>
      </c>
    </row>
    <row r="138" spans="1:26" ht="16" x14ac:dyDescent="0.2">
      <c r="A138" t="s">
        <v>43</v>
      </c>
      <c r="B138" s="2">
        <v>128</v>
      </c>
      <c r="C138" s="2">
        <v>4</v>
      </c>
      <c r="D138" s="2" t="s">
        <v>52</v>
      </c>
      <c r="E138" s="2" t="s">
        <v>45</v>
      </c>
      <c r="F138" s="2">
        <v>20</v>
      </c>
      <c r="G138" s="2">
        <v>1</v>
      </c>
      <c r="H138" s="2" t="s">
        <v>49</v>
      </c>
      <c r="I138" s="2" t="s">
        <v>50</v>
      </c>
      <c r="J138" s="2">
        <v>2</v>
      </c>
      <c r="K138" s="3" t="s">
        <v>35</v>
      </c>
      <c r="L138" s="2" t="str">
        <f t="shared" si="18"/>
        <v>128_MAS2_1_B2</v>
      </c>
      <c r="M138" s="2">
        <v>101</v>
      </c>
      <c r="N138" s="2">
        <v>1.2809999999999999</v>
      </c>
      <c r="O138" s="2">
        <v>2.1757</v>
      </c>
      <c r="P138" s="2">
        <v>3.2679999999999998</v>
      </c>
      <c r="Q138" s="2"/>
      <c r="R138" s="14">
        <f t="shared" si="13"/>
        <v>0.18869999999999987</v>
      </c>
      <c r="S138" s="14">
        <f t="shared" si="14"/>
        <v>8.67307073585512</v>
      </c>
      <c r="U138" s="14">
        <f t="shared" si="15"/>
        <v>11.645241123476428</v>
      </c>
      <c r="V138" s="14">
        <f t="shared" si="17"/>
        <v>89.354758876523576</v>
      </c>
      <c r="Z138" s="14">
        <f t="shared" si="16"/>
        <v>88.470058293587698</v>
      </c>
    </row>
    <row r="139" spans="1:26" ht="16" x14ac:dyDescent="0.2">
      <c r="A139" t="s">
        <v>43</v>
      </c>
      <c r="B139" s="1">
        <v>129</v>
      </c>
      <c r="C139" s="1">
        <v>4</v>
      </c>
      <c r="D139" s="1" t="s">
        <v>52</v>
      </c>
      <c r="E139" s="1" t="s">
        <v>45</v>
      </c>
      <c r="F139" s="1">
        <v>20</v>
      </c>
      <c r="G139" s="1">
        <v>1</v>
      </c>
      <c r="H139" s="1" t="s">
        <v>49</v>
      </c>
      <c r="I139" s="1" t="s">
        <v>50</v>
      </c>
      <c r="J139" s="1">
        <v>3</v>
      </c>
      <c r="K139" s="1" t="s">
        <v>46</v>
      </c>
      <c r="L139" s="1" t="str">
        <f t="shared" ref="L139:L170" si="19">_xlfn.CONCAT(B139,"_",D139,"_",G139,"_", H139,J139)</f>
        <v>129_MAS2_1_B3</v>
      </c>
      <c r="M139" s="1">
        <v>339.02</v>
      </c>
      <c r="N139" s="1">
        <v>1.2782</v>
      </c>
      <c r="O139" s="1">
        <v>2.4901</v>
      </c>
      <c r="P139" s="1">
        <v>3.5952000000000002</v>
      </c>
      <c r="Q139" s="1"/>
      <c r="R139" s="14">
        <f t="shared" si="13"/>
        <v>0.17309999999999981</v>
      </c>
      <c r="S139" s="14">
        <f t="shared" si="14"/>
        <v>6.9515280510822786</v>
      </c>
      <c r="U139" s="14">
        <f t="shared" si="15"/>
        <v>48.769133564413686</v>
      </c>
      <c r="V139" s="14">
        <f t="shared" si="17"/>
        <v>290.25086643558632</v>
      </c>
      <c r="Z139" s="14">
        <f t="shared" si="16"/>
        <v>85.614673599075658</v>
      </c>
    </row>
    <row r="140" spans="1:26" ht="16" x14ac:dyDescent="0.2">
      <c r="A140" t="s">
        <v>43</v>
      </c>
      <c r="B140" s="2">
        <v>130</v>
      </c>
      <c r="C140" s="2">
        <v>4</v>
      </c>
      <c r="D140" s="2" t="s">
        <v>52</v>
      </c>
      <c r="E140" s="2" t="s">
        <v>45</v>
      </c>
      <c r="F140" s="2">
        <v>20</v>
      </c>
      <c r="G140" s="2">
        <v>1</v>
      </c>
      <c r="H140" s="2" t="s">
        <v>49</v>
      </c>
      <c r="I140" s="2" t="s">
        <v>50</v>
      </c>
      <c r="J140" s="2">
        <v>4</v>
      </c>
      <c r="K140" s="3" t="s">
        <v>47</v>
      </c>
      <c r="L140" s="2" t="str">
        <f t="shared" si="19"/>
        <v>130_MAS2_1_B4</v>
      </c>
      <c r="M140" s="2">
        <v>292.14999999999998</v>
      </c>
      <c r="N140" s="2">
        <v>1.2786</v>
      </c>
      <c r="O140" s="2">
        <v>2.3167</v>
      </c>
      <c r="P140" s="2">
        <v>3.4140000000000001</v>
      </c>
      <c r="Q140" s="2"/>
      <c r="R140" s="14">
        <f t="shared" ref="R140:R202" si="20">(N140+O140)-P140</f>
        <v>0.18129999999999979</v>
      </c>
      <c r="S140" s="14">
        <f t="shared" ref="S140:S202" si="21">(R140/O140)*100</f>
        <v>7.8257866793283464</v>
      </c>
      <c r="U140" s="14">
        <f t="shared" ref="U140:U202" si="22">M140/S140</f>
        <v>37.331710148924472</v>
      </c>
      <c r="V140" s="14">
        <f t="shared" si="17"/>
        <v>254.81828985107552</v>
      </c>
      <c r="Z140" s="14">
        <f t="shared" ref="Z140:Z202" si="23">(V140/M140)*100</f>
        <v>87.221731936017648</v>
      </c>
    </row>
    <row r="141" spans="1:26" ht="16" x14ac:dyDescent="0.2">
      <c r="A141" t="s">
        <v>43</v>
      </c>
      <c r="B141" s="1">
        <v>131</v>
      </c>
      <c r="C141" s="1">
        <v>4</v>
      </c>
      <c r="D141" s="1" t="s">
        <v>52</v>
      </c>
      <c r="E141" s="1" t="s">
        <v>45</v>
      </c>
      <c r="F141" s="1">
        <v>20</v>
      </c>
      <c r="G141" s="1">
        <v>1</v>
      </c>
      <c r="H141" s="1" t="s">
        <v>49</v>
      </c>
      <c r="I141" s="1" t="s">
        <v>50</v>
      </c>
      <c r="J141" s="1">
        <v>5</v>
      </c>
      <c r="K141" s="1" t="s">
        <v>48</v>
      </c>
      <c r="L141" s="1" t="str">
        <f t="shared" si="19"/>
        <v>131_MAS2_1_B5</v>
      </c>
      <c r="M141" s="1">
        <v>14.32</v>
      </c>
      <c r="N141" s="1">
        <v>1.2782</v>
      </c>
      <c r="O141" s="1">
        <v>0.83499999999999996</v>
      </c>
      <c r="P141" s="1">
        <v>2.0367000000000002</v>
      </c>
      <c r="Q141" s="1"/>
      <c r="R141" s="14">
        <f t="shared" si="20"/>
        <v>7.649999999999979E-2</v>
      </c>
      <c r="S141" s="14">
        <f t="shared" si="21"/>
        <v>9.161676646706562</v>
      </c>
      <c r="U141" s="14">
        <f t="shared" si="22"/>
        <v>1.5630326797385663</v>
      </c>
      <c r="V141" s="14">
        <f t="shared" si="17"/>
        <v>12.756967320261435</v>
      </c>
      <c r="Z141" s="14">
        <f t="shared" si="23"/>
        <v>89.084967320261413</v>
      </c>
    </row>
    <row r="142" spans="1:26" ht="16" x14ac:dyDescent="0.2">
      <c r="A142" t="s">
        <v>43</v>
      </c>
      <c r="B142" s="2">
        <v>132</v>
      </c>
      <c r="C142" s="2">
        <v>4</v>
      </c>
      <c r="D142" s="2" t="s">
        <v>52</v>
      </c>
      <c r="E142" s="2" t="s">
        <v>45</v>
      </c>
      <c r="F142" s="2">
        <v>20</v>
      </c>
      <c r="G142" s="2">
        <v>1</v>
      </c>
      <c r="H142" s="2" t="s">
        <v>51</v>
      </c>
      <c r="I142" s="2" t="s">
        <v>50</v>
      </c>
      <c r="J142" s="2">
        <v>1</v>
      </c>
      <c r="K142" s="3" t="s">
        <v>34</v>
      </c>
      <c r="L142" s="2" t="str">
        <f t="shared" si="19"/>
        <v>132_MAS2_1_C1</v>
      </c>
      <c r="M142" s="2">
        <v>104.09</v>
      </c>
      <c r="N142" s="2">
        <v>1.2787999999999999</v>
      </c>
      <c r="O142" s="2">
        <v>2.0181</v>
      </c>
      <c r="P142" s="2">
        <v>3.2000999999999999</v>
      </c>
      <c r="Q142" s="2"/>
      <c r="R142" s="14">
        <f t="shared" si="20"/>
        <v>9.6799999999999997E-2</v>
      </c>
      <c r="S142" s="14">
        <f t="shared" si="21"/>
        <v>4.7965908527823196</v>
      </c>
      <c r="U142" s="14">
        <f t="shared" si="22"/>
        <v>21.700829442148763</v>
      </c>
      <c r="V142" s="14">
        <f t="shared" si="17"/>
        <v>82.389170557851244</v>
      </c>
      <c r="Z142" s="14">
        <f t="shared" si="23"/>
        <v>79.151859504132233</v>
      </c>
    </row>
    <row r="143" spans="1:26" ht="16" x14ac:dyDescent="0.2">
      <c r="A143" t="s">
        <v>43</v>
      </c>
      <c r="B143" s="1">
        <v>133</v>
      </c>
      <c r="C143" s="1">
        <v>4</v>
      </c>
      <c r="D143" s="1" t="s">
        <v>52</v>
      </c>
      <c r="E143" s="1" t="s">
        <v>45</v>
      </c>
      <c r="F143" s="1">
        <v>20</v>
      </c>
      <c r="G143" s="1">
        <v>1</v>
      </c>
      <c r="H143" s="1" t="s">
        <v>51</v>
      </c>
      <c r="I143" s="1" t="s">
        <v>50</v>
      </c>
      <c r="J143" s="1">
        <v>2</v>
      </c>
      <c r="K143" s="1" t="s">
        <v>35</v>
      </c>
      <c r="L143" s="1" t="str">
        <f t="shared" si="19"/>
        <v>133_MAS2_1_C2</v>
      </c>
      <c r="M143" s="1">
        <v>111.86</v>
      </c>
      <c r="N143" s="1">
        <v>1.2789999999999999</v>
      </c>
      <c r="O143" s="1">
        <v>2.0672999999999999</v>
      </c>
      <c r="P143" s="1">
        <v>3.2534999999999998</v>
      </c>
      <c r="Q143" s="1"/>
      <c r="R143" s="14">
        <f t="shared" si="20"/>
        <v>9.2799999999999994E-2</v>
      </c>
      <c r="S143" s="14">
        <f t="shared" si="21"/>
        <v>4.4889469356165046</v>
      </c>
      <c r="U143" s="14">
        <f t="shared" si="22"/>
        <v>24.918984698275864</v>
      </c>
      <c r="V143" s="14">
        <f t="shared" si="17"/>
        <v>86.941015301724136</v>
      </c>
      <c r="Z143" s="14">
        <f t="shared" si="23"/>
        <v>77.723060344827587</v>
      </c>
    </row>
    <row r="144" spans="1:26" ht="16" x14ac:dyDescent="0.2">
      <c r="A144" t="s">
        <v>43</v>
      </c>
      <c r="B144" s="2">
        <v>134</v>
      </c>
      <c r="C144" s="2">
        <v>4</v>
      </c>
      <c r="D144" s="2" t="s">
        <v>52</v>
      </c>
      <c r="E144" s="2" t="s">
        <v>45</v>
      </c>
      <c r="F144" s="2">
        <v>20</v>
      </c>
      <c r="G144" s="2">
        <v>1</v>
      </c>
      <c r="H144" s="2" t="s">
        <v>51</v>
      </c>
      <c r="I144" s="2" t="s">
        <v>50</v>
      </c>
      <c r="J144" s="2">
        <v>3</v>
      </c>
      <c r="K144" s="3" t="s">
        <v>46</v>
      </c>
      <c r="L144" s="2" t="str">
        <f t="shared" si="19"/>
        <v>134_MAS2_1_C3</v>
      </c>
      <c r="M144" s="2">
        <v>386.35</v>
      </c>
      <c r="N144" s="2">
        <v>1.2774000000000001</v>
      </c>
      <c r="O144" s="2">
        <v>2.1873999999999998</v>
      </c>
      <c r="P144" s="2">
        <v>3.3761999999999999</v>
      </c>
      <c r="Q144" s="2"/>
      <c r="R144" s="14">
        <f t="shared" si="20"/>
        <v>8.8600000000000012E-2</v>
      </c>
      <c r="S144" s="14">
        <f t="shared" si="21"/>
        <v>4.0504708786687402</v>
      </c>
      <c r="U144" s="14">
        <f t="shared" si="22"/>
        <v>95.383971783295692</v>
      </c>
      <c r="V144" s="14">
        <f t="shared" si="17"/>
        <v>290.96602821670433</v>
      </c>
      <c r="Z144" s="14">
        <f t="shared" si="23"/>
        <v>75.311512415349895</v>
      </c>
    </row>
    <row r="145" spans="1:26" ht="16" x14ac:dyDescent="0.2">
      <c r="A145" t="s">
        <v>43</v>
      </c>
      <c r="B145" s="1">
        <v>135</v>
      </c>
      <c r="C145" s="1">
        <v>4</v>
      </c>
      <c r="D145" s="1" t="s">
        <v>52</v>
      </c>
      <c r="E145" s="1" t="s">
        <v>45</v>
      </c>
      <c r="F145" s="1">
        <v>20</v>
      </c>
      <c r="G145" s="1">
        <v>1</v>
      </c>
      <c r="H145" s="1" t="s">
        <v>51</v>
      </c>
      <c r="I145" s="1" t="s">
        <v>50</v>
      </c>
      <c r="J145" s="1">
        <v>4</v>
      </c>
      <c r="K145" s="1" t="s">
        <v>47</v>
      </c>
      <c r="L145" s="1" t="str">
        <f t="shared" si="19"/>
        <v>135_MAS2_1_C4</v>
      </c>
      <c r="M145" s="1">
        <v>345.97</v>
      </c>
      <c r="N145" s="1">
        <v>1.2739</v>
      </c>
      <c r="O145" s="1">
        <v>2.1360999999999999</v>
      </c>
      <c r="P145" s="1">
        <v>3.2704</v>
      </c>
      <c r="Q145" s="1"/>
      <c r="R145" s="14">
        <f t="shared" si="20"/>
        <v>0.13960000000000017</v>
      </c>
      <c r="S145" s="14">
        <f t="shared" si="21"/>
        <v>6.53527456579749</v>
      </c>
      <c r="U145" s="14">
        <f t="shared" si="22"/>
        <v>52.938862249283602</v>
      </c>
      <c r="V145" s="14">
        <f t="shared" si="17"/>
        <v>293.03113775071643</v>
      </c>
      <c r="Z145" s="14">
        <f t="shared" si="23"/>
        <v>84.698424068767935</v>
      </c>
    </row>
    <row r="146" spans="1:26" ht="16" x14ac:dyDescent="0.2">
      <c r="A146" t="s">
        <v>43</v>
      </c>
      <c r="B146" s="2">
        <v>136</v>
      </c>
      <c r="C146" s="2">
        <v>4</v>
      </c>
      <c r="D146" s="2" t="s">
        <v>52</v>
      </c>
      <c r="E146" s="2" t="s">
        <v>45</v>
      </c>
      <c r="F146" s="2">
        <v>20</v>
      </c>
      <c r="G146" s="2">
        <v>1</v>
      </c>
      <c r="H146" s="2" t="s">
        <v>51</v>
      </c>
      <c r="I146" s="2" t="s">
        <v>50</v>
      </c>
      <c r="J146" s="2">
        <v>5</v>
      </c>
      <c r="K146" s="3" t="s">
        <v>48</v>
      </c>
      <c r="L146" s="2" t="str">
        <f t="shared" si="19"/>
        <v>136_MAS2_1_C5</v>
      </c>
      <c r="M146" s="2">
        <v>110.98</v>
      </c>
      <c r="N146" s="2">
        <v>1.2794000000000001</v>
      </c>
      <c r="O146" s="2">
        <v>2.0453999999999999</v>
      </c>
      <c r="P146" s="2">
        <v>3.1825000000000001</v>
      </c>
      <c r="Q146" s="2"/>
      <c r="R146" s="14">
        <f t="shared" si="20"/>
        <v>0.14229999999999965</v>
      </c>
      <c r="S146" s="14">
        <f t="shared" si="21"/>
        <v>6.9570744108731626</v>
      </c>
      <c r="U146" s="14">
        <f t="shared" si="22"/>
        <v>15.952107659873544</v>
      </c>
      <c r="V146" s="14">
        <f t="shared" si="17"/>
        <v>95.027892340126456</v>
      </c>
      <c r="Z146" s="14">
        <f t="shared" si="23"/>
        <v>85.626141953619069</v>
      </c>
    </row>
    <row r="147" spans="1:26" ht="16" x14ac:dyDescent="0.2">
      <c r="A147" t="s">
        <v>43</v>
      </c>
      <c r="B147" s="1">
        <v>137</v>
      </c>
      <c r="C147" s="1">
        <v>4</v>
      </c>
      <c r="D147" s="1" t="s">
        <v>52</v>
      </c>
      <c r="E147" s="1" t="s">
        <v>45</v>
      </c>
      <c r="F147" s="1">
        <v>20</v>
      </c>
      <c r="G147" s="1">
        <v>2</v>
      </c>
      <c r="H147" s="1" t="s">
        <v>32</v>
      </c>
      <c r="I147" s="1" t="s">
        <v>33</v>
      </c>
      <c r="J147" s="1">
        <v>1</v>
      </c>
      <c r="K147" s="1" t="s">
        <v>34</v>
      </c>
      <c r="L147" s="1" t="str">
        <f t="shared" si="19"/>
        <v>137_MAS2_2_A1</v>
      </c>
      <c r="M147" s="1">
        <v>106.26</v>
      </c>
      <c r="N147" s="1">
        <v>1.2787999999999999</v>
      </c>
      <c r="O147" s="1">
        <v>2.2248999999999999</v>
      </c>
      <c r="P147" s="1">
        <v>3.41</v>
      </c>
      <c r="Q147" s="1"/>
      <c r="R147" s="14">
        <f t="shared" si="20"/>
        <v>9.3699999999999672E-2</v>
      </c>
      <c r="S147" s="14">
        <f t="shared" si="21"/>
        <v>4.211425232594709</v>
      </c>
      <c r="U147" s="14">
        <f t="shared" si="22"/>
        <v>25.231363287086534</v>
      </c>
      <c r="V147" s="14">
        <f t="shared" si="17"/>
        <v>81.028636712913467</v>
      </c>
      <c r="Z147" s="14">
        <f t="shared" si="23"/>
        <v>76.255069370330759</v>
      </c>
    </row>
    <row r="148" spans="1:26" ht="16" x14ac:dyDescent="0.2">
      <c r="A148" t="s">
        <v>43</v>
      </c>
      <c r="B148" s="2">
        <v>138</v>
      </c>
      <c r="C148" s="2">
        <v>4</v>
      </c>
      <c r="D148" s="2" t="s">
        <v>52</v>
      </c>
      <c r="E148" s="2" t="s">
        <v>45</v>
      </c>
      <c r="F148" s="2">
        <v>20</v>
      </c>
      <c r="G148" s="2">
        <v>2</v>
      </c>
      <c r="H148" s="2" t="s">
        <v>32</v>
      </c>
      <c r="I148" s="2" t="s">
        <v>33</v>
      </c>
      <c r="J148" s="2">
        <v>2</v>
      </c>
      <c r="K148" s="3" t="s">
        <v>35</v>
      </c>
      <c r="L148" s="2" t="str">
        <f t="shared" si="19"/>
        <v>138_MAS2_2_A2</v>
      </c>
      <c r="M148" s="2">
        <v>111.19</v>
      </c>
      <c r="N148" s="2">
        <v>1.2854000000000001</v>
      </c>
      <c r="O148" s="2">
        <v>2.1059999999999999</v>
      </c>
      <c r="P148" s="2">
        <v>3.2498999999999998</v>
      </c>
      <c r="Q148" s="2"/>
      <c r="R148" s="14">
        <f t="shared" si="20"/>
        <v>0.14150000000000018</v>
      </c>
      <c r="S148" s="14">
        <f t="shared" si="21"/>
        <v>6.718898385565061</v>
      </c>
      <c r="U148" s="14">
        <f t="shared" si="22"/>
        <v>16.548843816254394</v>
      </c>
      <c r="V148" s="14">
        <f t="shared" si="17"/>
        <v>94.641156183745608</v>
      </c>
      <c r="Z148" s="14">
        <f t="shared" si="23"/>
        <v>85.116607773851612</v>
      </c>
    </row>
    <row r="149" spans="1:26" ht="16" x14ac:dyDescent="0.2">
      <c r="A149" t="s">
        <v>43</v>
      </c>
      <c r="B149" s="1">
        <v>139</v>
      </c>
      <c r="C149" s="1">
        <v>4</v>
      </c>
      <c r="D149" s="1" t="s">
        <v>52</v>
      </c>
      <c r="E149" s="1" t="s">
        <v>45</v>
      </c>
      <c r="F149" s="1">
        <v>20</v>
      </c>
      <c r="G149" s="1">
        <v>2</v>
      </c>
      <c r="H149" s="1" t="s">
        <v>32</v>
      </c>
      <c r="I149" s="1" t="s">
        <v>33</v>
      </c>
      <c r="J149" s="1">
        <v>3</v>
      </c>
      <c r="K149" s="1" t="s">
        <v>46</v>
      </c>
      <c r="L149" s="1" t="str">
        <f t="shared" si="19"/>
        <v>139_MAS2_2_A3</v>
      </c>
      <c r="M149" s="1">
        <v>382.41</v>
      </c>
      <c r="N149" s="1">
        <v>1.2782</v>
      </c>
      <c r="O149" s="1">
        <v>2.3826999999999998</v>
      </c>
      <c r="P149" s="1">
        <v>3.4597000000000002</v>
      </c>
      <c r="Q149" s="1"/>
      <c r="R149" s="14">
        <f t="shared" si="20"/>
        <v>0.2011999999999996</v>
      </c>
      <c r="S149" s="14">
        <f t="shared" si="21"/>
        <v>8.4442019557644539</v>
      </c>
      <c r="U149" s="14">
        <f t="shared" si="22"/>
        <v>45.286695178926522</v>
      </c>
      <c r="V149" s="14">
        <f t="shared" si="17"/>
        <v>337.12330482107348</v>
      </c>
      <c r="Z149" s="14">
        <f t="shared" si="23"/>
        <v>88.157554671968157</v>
      </c>
    </row>
    <row r="150" spans="1:26" ht="16" x14ac:dyDescent="0.2">
      <c r="A150" t="s">
        <v>43</v>
      </c>
      <c r="B150" s="2">
        <v>140</v>
      </c>
      <c r="C150" s="2">
        <v>4</v>
      </c>
      <c r="D150" s="2" t="s">
        <v>52</v>
      </c>
      <c r="E150" s="2" t="s">
        <v>45</v>
      </c>
      <c r="F150" s="2">
        <v>20</v>
      </c>
      <c r="G150" s="2">
        <v>2</v>
      </c>
      <c r="H150" s="2" t="s">
        <v>32</v>
      </c>
      <c r="I150" s="2" t="s">
        <v>33</v>
      </c>
      <c r="J150" s="2">
        <v>4</v>
      </c>
      <c r="K150" s="3" t="s">
        <v>47</v>
      </c>
      <c r="L150" s="2" t="str">
        <f t="shared" si="19"/>
        <v>140_MAS2_2_A4</v>
      </c>
      <c r="M150" s="2">
        <v>316.14999999999998</v>
      </c>
      <c r="N150" s="2">
        <v>1.2798</v>
      </c>
      <c r="O150" s="2">
        <v>2.125</v>
      </c>
      <c r="P150" s="2">
        <v>3.2063000000000001</v>
      </c>
      <c r="Q150" s="2"/>
      <c r="R150" s="14">
        <f t="shared" si="20"/>
        <v>0.19849999999999968</v>
      </c>
      <c r="S150" s="14">
        <f t="shared" si="21"/>
        <v>9.3411764705882199</v>
      </c>
      <c r="U150" s="14">
        <f t="shared" si="22"/>
        <v>33.844773299748162</v>
      </c>
      <c r="V150" s="14">
        <f t="shared" si="17"/>
        <v>282.30522670025181</v>
      </c>
      <c r="Z150" s="14">
        <f t="shared" si="23"/>
        <v>89.294710327455888</v>
      </c>
    </row>
    <row r="151" spans="1:26" ht="16" x14ac:dyDescent="0.2">
      <c r="A151" t="s">
        <v>43</v>
      </c>
      <c r="B151" s="1">
        <v>141</v>
      </c>
      <c r="C151" s="1">
        <v>4</v>
      </c>
      <c r="D151" s="1" t="s">
        <v>52</v>
      </c>
      <c r="E151" s="1" t="s">
        <v>45</v>
      </c>
      <c r="F151" s="1">
        <v>20</v>
      </c>
      <c r="G151" s="1">
        <v>2</v>
      </c>
      <c r="H151" s="1" t="s">
        <v>32</v>
      </c>
      <c r="I151" s="1" t="s">
        <v>33</v>
      </c>
      <c r="J151" s="1">
        <v>5</v>
      </c>
      <c r="K151" s="1" t="s">
        <v>48</v>
      </c>
      <c r="L151" s="1" t="str">
        <f t="shared" si="19"/>
        <v>141_MAS2_2_A5</v>
      </c>
      <c r="M151" s="1">
        <v>19.12</v>
      </c>
      <c r="N151" s="1">
        <v>1.262</v>
      </c>
      <c r="O151" s="1">
        <v>0.80500000000000005</v>
      </c>
      <c r="P151" s="1">
        <v>1.9867999999999999</v>
      </c>
      <c r="Q151" s="1"/>
      <c r="R151" s="14">
        <f t="shared" si="20"/>
        <v>8.0200000000000271E-2</v>
      </c>
      <c r="S151" s="14">
        <f t="shared" si="21"/>
        <v>9.962732919254691</v>
      </c>
      <c r="U151" s="14">
        <f t="shared" si="22"/>
        <v>1.919152119700742</v>
      </c>
      <c r="V151" s="14">
        <f t="shared" si="17"/>
        <v>17.200847880299261</v>
      </c>
      <c r="Z151" s="14">
        <f t="shared" si="23"/>
        <v>89.962593516209523</v>
      </c>
    </row>
    <row r="152" spans="1:26" ht="16" x14ac:dyDescent="0.2">
      <c r="A152" t="s">
        <v>43</v>
      </c>
      <c r="B152" s="2">
        <v>142</v>
      </c>
      <c r="C152" s="2">
        <v>4</v>
      </c>
      <c r="D152" s="2" t="s">
        <v>52</v>
      </c>
      <c r="E152" s="2" t="s">
        <v>45</v>
      </c>
      <c r="F152" s="2">
        <v>20</v>
      </c>
      <c r="G152" s="2">
        <v>3</v>
      </c>
      <c r="H152" s="2" t="s">
        <v>32</v>
      </c>
      <c r="I152" s="2" t="s">
        <v>33</v>
      </c>
      <c r="J152" s="2">
        <v>1</v>
      </c>
      <c r="K152" s="3" t="s">
        <v>34</v>
      </c>
      <c r="L152" s="2" t="str">
        <f t="shared" si="19"/>
        <v>142_MAS2_3_A1</v>
      </c>
      <c r="M152" s="2">
        <v>116.83</v>
      </c>
      <c r="N152" s="2">
        <v>1.264</v>
      </c>
      <c r="O152" s="2">
        <v>2.2151000000000001</v>
      </c>
      <c r="P152" s="2">
        <v>3.3645999999999998</v>
      </c>
      <c r="Q152" s="2"/>
      <c r="R152" s="14">
        <f t="shared" si="20"/>
        <v>0.11450000000000005</v>
      </c>
      <c r="S152" s="14">
        <f t="shared" si="21"/>
        <v>5.1690668592840074</v>
      </c>
      <c r="U152" s="14">
        <f t="shared" si="22"/>
        <v>22.601758340611344</v>
      </c>
      <c r="V152" s="14">
        <f t="shared" si="17"/>
        <v>94.228241659388658</v>
      </c>
      <c r="Z152" s="14">
        <f t="shared" si="23"/>
        <v>80.654148471615727</v>
      </c>
    </row>
    <row r="153" spans="1:26" ht="16" x14ac:dyDescent="0.2">
      <c r="A153" t="s">
        <v>43</v>
      </c>
      <c r="B153" s="1">
        <v>143</v>
      </c>
      <c r="C153" s="1">
        <v>4</v>
      </c>
      <c r="D153" s="1" t="s">
        <v>52</v>
      </c>
      <c r="E153" s="1" t="s">
        <v>45</v>
      </c>
      <c r="F153" s="1">
        <v>20</v>
      </c>
      <c r="G153" s="1">
        <v>3</v>
      </c>
      <c r="H153" s="1" t="s">
        <v>32</v>
      </c>
      <c r="I153" s="1" t="s">
        <v>33</v>
      </c>
      <c r="J153" s="1">
        <v>2</v>
      </c>
      <c r="K153" s="1" t="s">
        <v>35</v>
      </c>
      <c r="L153" s="1" t="str">
        <f t="shared" si="19"/>
        <v>143_MAS2_3_A2</v>
      </c>
      <c r="M153" s="1">
        <v>95.25</v>
      </c>
      <c r="N153" s="1">
        <v>1.278</v>
      </c>
      <c r="O153" s="1">
        <v>2.2978000000000001</v>
      </c>
      <c r="P153" s="1">
        <v>3.4369999999999998</v>
      </c>
      <c r="Q153" s="1"/>
      <c r="R153" s="14">
        <f t="shared" si="20"/>
        <v>0.13880000000000026</v>
      </c>
      <c r="S153" s="14">
        <f t="shared" si="21"/>
        <v>6.0405605361650387</v>
      </c>
      <c r="U153" s="14">
        <f t="shared" si="22"/>
        <v>15.768404178674322</v>
      </c>
      <c r="V153" s="14">
        <f t="shared" si="17"/>
        <v>79.481595821325683</v>
      </c>
      <c r="Z153" s="14">
        <f t="shared" si="23"/>
        <v>83.44524495677237</v>
      </c>
    </row>
    <row r="154" spans="1:26" ht="16" x14ac:dyDescent="0.2">
      <c r="A154" t="s">
        <v>43</v>
      </c>
      <c r="B154" s="2">
        <v>144</v>
      </c>
      <c r="C154" s="2">
        <v>4</v>
      </c>
      <c r="D154" s="2" t="s">
        <v>52</v>
      </c>
      <c r="E154" s="2" t="s">
        <v>45</v>
      </c>
      <c r="F154" s="2">
        <v>20</v>
      </c>
      <c r="G154" s="2">
        <v>3</v>
      </c>
      <c r="H154" s="2" t="s">
        <v>32</v>
      </c>
      <c r="I154" s="2" t="s">
        <v>33</v>
      </c>
      <c r="J154" s="2">
        <v>3</v>
      </c>
      <c r="K154" s="3" t="s">
        <v>46</v>
      </c>
      <c r="L154" s="2" t="str">
        <f t="shared" si="19"/>
        <v>144_MAS2_3_A3</v>
      </c>
      <c r="M154" s="2">
        <v>354.8</v>
      </c>
      <c r="N154" s="2">
        <v>1.2790999999999999</v>
      </c>
      <c r="O154" s="2">
        <v>2.0219</v>
      </c>
      <c r="P154" s="2">
        <v>3.1629</v>
      </c>
      <c r="Q154" s="2"/>
      <c r="R154" s="14">
        <f t="shared" si="20"/>
        <v>0.13810000000000011</v>
      </c>
      <c r="S154" s="14">
        <f t="shared" si="21"/>
        <v>6.8302092091597073</v>
      </c>
      <c r="U154" s="14">
        <f t="shared" si="22"/>
        <v>51.945700217233842</v>
      </c>
      <c r="V154" s="14">
        <f t="shared" si="17"/>
        <v>302.85429978276619</v>
      </c>
      <c r="Z154" s="14">
        <f t="shared" si="23"/>
        <v>85.359160028964538</v>
      </c>
    </row>
    <row r="155" spans="1:26" ht="16" x14ac:dyDescent="0.2">
      <c r="A155" t="s">
        <v>43</v>
      </c>
      <c r="B155" s="1">
        <v>145</v>
      </c>
      <c r="C155" s="1">
        <v>4</v>
      </c>
      <c r="D155" s="1" t="s">
        <v>52</v>
      </c>
      <c r="E155" s="1" t="s">
        <v>45</v>
      </c>
      <c r="F155" s="1">
        <v>20</v>
      </c>
      <c r="G155" s="1">
        <v>3</v>
      </c>
      <c r="H155" s="1" t="s">
        <v>32</v>
      </c>
      <c r="I155" s="1" t="s">
        <v>33</v>
      </c>
      <c r="J155" s="1">
        <v>4</v>
      </c>
      <c r="K155" s="1" t="s">
        <v>47</v>
      </c>
      <c r="L155" s="1" t="str">
        <f t="shared" si="19"/>
        <v>145_MAS2_3_A4</v>
      </c>
      <c r="M155" s="1">
        <v>357.83</v>
      </c>
      <c r="N155" s="1">
        <v>1.2643</v>
      </c>
      <c r="O155" s="1">
        <v>2.1436000000000002</v>
      </c>
      <c r="P155" s="1">
        <v>3.2081</v>
      </c>
      <c r="Q155" s="1"/>
      <c r="R155" s="14">
        <f t="shared" si="20"/>
        <v>0.1998000000000002</v>
      </c>
      <c r="S155" s="14">
        <f t="shared" si="21"/>
        <v>9.3207688001492901</v>
      </c>
      <c r="U155" s="14">
        <f t="shared" si="22"/>
        <v>38.390610010009972</v>
      </c>
      <c r="V155" s="14">
        <f t="shared" si="17"/>
        <v>319.43938998998999</v>
      </c>
      <c r="Z155" s="14">
        <f t="shared" si="23"/>
        <v>89.271271271271274</v>
      </c>
    </row>
    <row r="156" spans="1:26" ht="16" x14ac:dyDescent="0.2">
      <c r="A156" t="s">
        <v>43</v>
      </c>
      <c r="B156" s="2">
        <v>146</v>
      </c>
      <c r="C156" s="2">
        <v>4</v>
      </c>
      <c r="D156" s="2" t="s">
        <v>52</v>
      </c>
      <c r="E156" s="2" t="s">
        <v>45</v>
      </c>
      <c r="F156" s="2">
        <v>20</v>
      </c>
      <c r="G156" s="2">
        <v>3</v>
      </c>
      <c r="H156" s="2" t="s">
        <v>32</v>
      </c>
      <c r="I156" s="2" t="s">
        <v>33</v>
      </c>
      <c r="J156" s="2">
        <v>5</v>
      </c>
      <c r="K156" s="3" t="s">
        <v>48</v>
      </c>
      <c r="L156" s="2" t="str">
        <f t="shared" si="19"/>
        <v>146_MAS2_3_A5</v>
      </c>
      <c r="M156" s="2">
        <v>384.68</v>
      </c>
      <c r="N156" s="2">
        <v>1.2625</v>
      </c>
      <c r="O156" s="2">
        <v>2.1758999999999999</v>
      </c>
      <c r="P156" s="2">
        <v>3.1831</v>
      </c>
      <c r="Q156" s="2"/>
      <c r="R156" s="14">
        <f t="shared" si="20"/>
        <v>0.25529999999999964</v>
      </c>
      <c r="S156" s="14">
        <f t="shared" si="21"/>
        <v>11.733075968564716</v>
      </c>
      <c r="U156" s="14">
        <f t="shared" si="22"/>
        <v>32.785946415981243</v>
      </c>
      <c r="V156" s="14">
        <f t="shared" si="17"/>
        <v>351.89405358401876</v>
      </c>
      <c r="Z156" s="14">
        <f t="shared" si="23"/>
        <v>91.477085781433601</v>
      </c>
    </row>
    <row r="157" spans="1:26" ht="16" x14ac:dyDescent="0.2">
      <c r="A157" t="s">
        <v>43</v>
      </c>
      <c r="B157" s="1">
        <v>147</v>
      </c>
      <c r="C157" s="1">
        <v>4</v>
      </c>
      <c r="D157" s="1" t="s">
        <v>52</v>
      </c>
      <c r="E157" s="1" t="s">
        <v>45</v>
      </c>
      <c r="F157" s="1">
        <v>20</v>
      </c>
      <c r="G157" s="1">
        <v>3</v>
      </c>
      <c r="H157" s="1" t="s">
        <v>49</v>
      </c>
      <c r="I157" s="1" t="s">
        <v>50</v>
      </c>
      <c r="J157" s="1">
        <v>1</v>
      </c>
      <c r="K157" s="1" t="s">
        <v>34</v>
      </c>
      <c r="L157" s="1" t="str">
        <f t="shared" si="19"/>
        <v>147_MAS2_3_B1</v>
      </c>
      <c r="M157" s="1">
        <v>87.5</v>
      </c>
      <c r="N157" s="1">
        <v>1.2592000000000001</v>
      </c>
      <c r="O157" s="1">
        <v>2.0434999999999999</v>
      </c>
      <c r="P157" s="1">
        <v>3.1715</v>
      </c>
      <c r="Q157" s="1"/>
      <c r="R157" s="14">
        <f t="shared" si="20"/>
        <v>0.13119999999999976</v>
      </c>
      <c r="S157" s="14">
        <f t="shared" si="21"/>
        <v>6.42035723024222</v>
      </c>
      <c r="U157" s="14">
        <f t="shared" si="22"/>
        <v>13.628525152439048</v>
      </c>
      <c r="V157" s="14">
        <f t="shared" ref="V157:V202" si="24">M157-U157</f>
        <v>73.871474847560947</v>
      </c>
      <c r="Z157" s="14">
        <f t="shared" si="23"/>
        <v>84.424542682926798</v>
      </c>
    </row>
    <row r="158" spans="1:26" ht="16" x14ac:dyDescent="0.2">
      <c r="A158" t="s">
        <v>43</v>
      </c>
      <c r="B158" s="2">
        <v>148</v>
      </c>
      <c r="C158" s="2">
        <v>4</v>
      </c>
      <c r="D158" s="2" t="s">
        <v>52</v>
      </c>
      <c r="E158" s="2" t="s">
        <v>45</v>
      </c>
      <c r="F158" s="2">
        <v>20</v>
      </c>
      <c r="G158" s="2">
        <v>3</v>
      </c>
      <c r="H158" s="2" t="s">
        <v>49</v>
      </c>
      <c r="I158" s="2" t="s">
        <v>50</v>
      </c>
      <c r="J158" s="2">
        <v>2</v>
      </c>
      <c r="K158" s="3" t="s">
        <v>35</v>
      </c>
      <c r="L158" s="2" t="str">
        <f t="shared" si="19"/>
        <v>148_MAS2_3_B2</v>
      </c>
      <c r="M158" s="2">
        <v>127.26</v>
      </c>
      <c r="N158" s="2">
        <v>1.2585</v>
      </c>
      <c r="O158" s="2">
        <v>2.0015000000000001</v>
      </c>
      <c r="P158" s="2">
        <v>3.1065</v>
      </c>
      <c r="Q158" s="2"/>
      <c r="R158" s="14">
        <f t="shared" si="20"/>
        <v>0.15349999999999975</v>
      </c>
      <c r="S158" s="14">
        <f t="shared" si="21"/>
        <v>7.6692480639520237</v>
      </c>
      <c r="U158" s="14">
        <f t="shared" si="22"/>
        <v>16.593543322475597</v>
      </c>
      <c r="V158" s="14">
        <f t="shared" si="24"/>
        <v>110.66645667752441</v>
      </c>
      <c r="Z158" s="14">
        <f t="shared" si="23"/>
        <v>86.960912052117251</v>
      </c>
    </row>
    <row r="159" spans="1:26" ht="16" x14ac:dyDescent="0.2">
      <c r="A159" t="s">
        <v>43</v>
      </c>
      <c r="B159" s="1">
        <v>149</v>
      </c>
      <c r="C159" s="1">
        <v>4</v>
      </c>
      <c r="D159" s="1" t="s">
        <v>52</v>
      </c>
      <c r="E159" s="1" t="s">
        <v>45</v>
      </c>
      <c r="F159" s="1">
        <v>20</v>
      </c>
      <c r="G159" s="1">
        <v>3</v>
      </c>
      <c r="H159" s="1" t="s">
        <v>49</v>
      </c>
      <c r="I159" s="1" t="s">
        <v>50</v>
      </c>
      <c r="J159" s="1">
        <v>3</v>
      </c>
      <c r="K159" s="1" t="s">
        <v>46</v>
      </c>
      <c r="L159" s="1" t="str">
        <f t="shared" si="19"/>
        <v>149_MAS2_3_B3</v>
      </c>
      <c r="M159" s="1">
        <v>382.53</v>
      </c>
      <c r="N159" s="1">
        <v>1.2647999999999999</v>
      </c>
      <c r="O159" s="1">
        <v>2.1427</v>
      </c>
      <c r="P159" s="1">
        <v>3.2372999999999998</v>
      </c>
      <c r="Q159" s="1"/>
      <c r="R159" s="14">
        <f t="shared" si="20"/>
        <v>0.17019999999999991</v>
      </c>
      <c r="S159" s="14">
        <f t="shared" si="21"/>
        <v>7.9432491716059133</v>
      </c>
      <c r="U159" s="14">
        <f t="shared" si="22"/>
        <v>48.157874911868412</v>
      </c>
      <c r="V159" s="14">
        <f t="shared" si="24"/>
        <v>334.37212508813155</v>
      </c>
      <c r="Z159" s="14">
        <f t="shared" si="23"/>
        <v>87.41069330199764</v>
      </c>
    </row>
    <row r="160" spans="1:26" ht="16" x14ac:dyDescent="0.2">
      <c r="A160" t="s">
        <v>43</v>
      </c>
      <c r="B160" s="2">
        <v>150</v>
      </c>
      <c r="C160" s="2">
        <v>4</v>
      </c>
      <c r="D160" s="2" t="s">
        <v>52</v>
      </c>
      <c r="E160" s="2" t="s">
        <v>45</v>
      </c>
      <c r="F160" s="2">
        <v>20</v>
      </c>
      <c r="G160" s="2">
        <v>3</v>
      </c>
      <c r="H160" s="2" t="s">
        <v>49</v>
      </c>
      <c r="I160" s="2" t="s">
        <v>50</v>
      </c>
      <c r="J160" s="2">
        <v>4</v>
      </c>
      <c r="K160" s="3" t="s">
        <v>47</v>
      </c>
      <c r="L160" s="2" t="str">
        <f t="shared" si="19"/>
        <v>150_MAS2_3_B4</v>
      </c>
      <c r="M160" s="2">
        <v>338.51</v>
      </c>
      <c r="N160" s="2">
        <v>1.2625</v>
      </c>
      <c r="O160" s="2">
        <v>2.0291000000000001</v>
      </c>
      <c r="P160" s="2">
        <v>3.0992000000000002</v>
      </c>
      <c r="Q160" s="2"/>
      <c r="R160" s="14">
        <f t="shared" si="20"/>
        <v>0.19239999999999968</v>
      </c>
      <c r="S160" s="14">
        <f t="shared" si="21"/>
        <v>9.4820363708047744</v>
      </c>
      <c r="U160" s="14">
        <f t="shared" si="22"/>
        <v>35.700137266112328</v>
      </c>
      <c r="V160" s="14">
        <f t="shared" si="24"/>
        <v>302.80986273388766</v>
      </c>
      <c r="Z160" s="14">
        <f t="shared" si="23"/>
        <v>89.453742203742181</v>
      </c>
    </row>
    <row r="161" spans="1:26" ht="16" x14ac:dyDescent="0.2">
      <c r="A161" t="s">
        <v>43</v>
      </c>
      <c r="B161" s="1">
        <v>151</v>
      </c>
      <c r="C161" s="1">
        <v>4</v>
      </c>
      <c r="D161" s="1" t="s">
        <v>52</v>
      </c>
      <c r="E161" s="1" t="s">
        <v>45</v>
      </c>
      <c r="F161" s="1">
        <v>20</v>
      </c>
      <c r="G161" s="1">
        <v>3</v>
      </c>
      <c r="H161" s="1" t="s">
        <v>49</v>
      </c>
      <c r="I161" s="1" t="s">
        <v>50</v>
      </c>
      <c r="J161" s="1">
        <v>5</v>
      </c>
      <c r="K161" s="1" t="s">
        <v>48</v>
      </c>
      <c r="L161" s="1" t="str">
        <f t="shared" si="19"/>
        <v>151_MAS2_3_B5</v>
      </c>
      <c r="M161" s="1">
        <v>400.64</v>
      </c>
      <c r="N161" s="1">
        <v>1.2639</v>
      </c>
      <c r="O161" s="1">
        <v>2.1309</v>
      </c>
      <c r="P161" s="1">
        <v>3.1695000000000002</v>
      </c>
      <c r="Q161" s="1"/>
      <c r="R161" s="14">
        <f t="shared" si="20"/>
        <v>0.22529999999999983</v>
      </c>
      <c r="S161" s="14">
        <f t="shared" si="21"/>
        <v>10.572997325073905</v>
      </c>
      <c r="U161" s="14">
        <f t="shared" si="22"/>
        <v>37.892755259653825</v>
      </c>
      <c r="V161" s="14">
        <f t="shared" si="24"/>
        <v>362.74724474034616</v>
      </c>
      <c r="Z161" s="14">
        <f t="shared" si="23"/>
        <v>90.54194407456724</v>
      </c>
    </row>
    <row r="162" spans="1:26" ht="16" x14ac:dyDescent="0.2">
      <c r="A162" t="s">
        <v>43</v>
      </c>
      <c r="B162" s="2">
        <v>152</v>
      </c>
      <c r="C162" s="2">
        <v>4</v>
      </c>
      <c r="D162" s="2" t="s">
        <v>52</v>
      </c>
      <c r="E162" s="2" t="s">
        <v>45</v>
      </c>
      <c r="F162" s="2">
        <v>20</v>
      </c>
      <c r="G162" s="2">
        <v>3</v>
      </c>
      <c r="H162" s="2" t="s">
        <v>51</v>
      </c>
      <c r="I162" s="2" t="s">
        <v>50</v>
      </c>
      <c r="J162" s="2">
        <v>1</v>
      </c>
      <c r="K162" s="3" t="s">
        <v>34</v>
      </c>
      <c r="L162" s="2" t="str">
        <f t="shared" si="19"/>
        <v>152_MAS2_3_C1</v>
      </c>
      <c r="M162" s="2">
        <v>92.15</v>
      </c>
      <c r="N162" s="2">
        <v>1.2635000000000001</v>
      </c>
      <c r="O162" s="2">
        <v>2.0449999999999999</v>
      </c>
      <c r="P162" s="2">
        <v>3.2166999999999999</v>
      </c>
      <c r="Q162" s="2"/>
      <c r="R162" s="14">
        <f t="shared" si="20"/>
        <v>9.1800000000000104E-2</v>
      </c>
      <c r="S162" s="14">
        <f t="shared" si="21"/>
        <v>4.4889975550122303</v>
      </c>
      <c r="U162" s="14">
        <f t="shared" si="22"/>
        <v>20.527968409586034</v>
      </c>
      <c r="V162" s="14">
        <f t="shared" si="24"/>
        <v>71.622031590413968</v>
      </c>
      <c r="Z162" s="14">
        <f t="shared" si="23"/>
        <v>77.723311546840975</v>
      </c>
    </row>
    <row r="163" spans="1:26" ht="16" x14ac:dyDescent="0.2">
      <c r="A163" t="s">
        <v>43</v>
      </c>
      <c r="B163" s="1">
        <v>153</v>
      </c>
      <c r="C163" s="1">
        <v>4</v>
      </c>
      <c r="D163" s="1" t="s">
        <v>52</v>
      </c>
      <c r="E163" s="1" t="s">
        <v>45</v>
      </c>
      <c r="F163" s="1">
        <v>20</v>
      </c>
      <c r="G163" s="1">
        <v>3</v>
      </c>
      <c r="H163" s="1" t="s">
        <v>51</v>
      </c>
      <c r="I163" s="1" t="s">
        <v>50</v>
      </c>
      <c r="J163" s="1">
        <v>2</v>
      </c>
      <c r="K163" s="1" t="s">
        <v>35</v>
      </c>
      <c r="L163" s="1" t="str">
        <f t="shared" si="19"/>
        <v>153_MAS2_3_C2</v>
      </c>
      <c r="M163" s="1">
        <v>124.16</v>
      </c>
      <c r="N163" s="1">
        <v>1.2623</v>
      </c>
      <c r="O163" s="1">
        <v>2.1953</v>
      </c>
      <c r="P163" s="1">
        <v>3.3653</v>
      </c>
      <c r="Q163" s="1"/>
      <c r="R163" s="14">
        <f t="shared" si="20"/>
        <v>9.2300000000000271E-2</v>
      </c>
      <c r="S163" s="14">
        <f t="shared" si="21"/>
        <v>4.2044367512413006</v>
      </c>
      <c r="U163" s="14">
        <f t="shared" si="22"/>
        <v>29.530709425785396</v>
      </c>
      <c r="V163" s="14">
        <f t="shared" si="24"/>
        <v>94.629290574214593</v>
      </c>
      <c r="Z163" s="14">
        <f t="shared" si="23"/>
        <v>76.215601300108403</v>
      </c>
    </row>
    <row r="164" spans="1:26" ht="16" x14ac:dyDescent="0.2">
      <c r="A164" t="s">
        <v>43</v>
      </c>
      <c r="B164" s="2">
        <v>154</v>
      </c>
      <c r="C164" s="2">
        <v>4</v>
      </c>
      <c r="D164" s="2" t="s">
        <v>52</v>
      </c>
      <c r="E164" s="2" t="s">
        <v>45</v>
      </c>
      <c r="F164" s="2">
        <v>20</v>
      </c>
      <c r="G164" s="2">
        <v>3</v>
      </c>
      <c r="H164" s="2" t="s">
        <v>51</v>
      </c>
      <c r="I164" s="2" t="s">
        <v>50</v>
      </c>
      <c r="J164" s="2">
        <v>3</v>
      </c>
      <c r="K164" s="3" t="s">
        <v>46</v>
      </c>
      <c r="L164" s="2" t="str">
        <f t="shared" si="19"/>
        <v>154_MAS2_3_C3</v>
      </c>
      <c r="M164" s="2">
        <v>345.45</v>
      </c>
      <c r="N164" s="2">
        <v>1.2623</v>
      </c>
      <c r="O164" s="2">
        <v>2.0952000000000002</v>
      </c>
      <c r="P164" s="2">
        <v>3.1951000000000001</v>
      </c>
      <c r="Q164" s="2"/>
      <c r="R164" s="14">
        <f t="shared" si="20"/>
        <v>0.16239999999999988</v>
      </c>
      <c r="S164" s="14">
        <f t="shared" si="21"/>
        <v>7.7510500190912506</v>
      </c>
      <c r="U164" s="14">
        <f t="shared" si="22"/>
        <v>44.568155172413825</v>
      </c>
      <c r="V164" s="14">
        <f t="shared" si="24"/>
        <v>300.88184482758618</v>
      </c>
      <c r="Z164" s="14">
        <f t="shared" si="23"/>
        <v>87.098522167487687</v>
      </c>
    </row>
    <row r="165" spans="1:26" ht="16" x14ac:dyDescent="0.2">
      <c r="A165" t="s">
        <v>43</v>
      </c>
      <c r="B165" s="1">
        <v>155</v>
      </c>
      <c r="C165" s="1">
        <v>4</v>
      </c>
      <c r="D165" s="1" t="s">
        <v>52</v>
      </c>
      <c r="E165" s="1" t="s">
        <v>45</v>
      </c>
      <c r="F165" s="1">
        <v>20</v>
      </c>
      <c r="G165" s="1">
        <v>3</v>
      </c>
      <c r="H165" s="1" t="s">
        <v>51</v>
      </c>
      <c r="I165" s="1" t="s">
        <v>50</v>
      </c>
      <c r="J165" s="1">
        <v>4</v>
      </c>
      <c r="K165" s="1" t="s">
        <v>47</v>
      </c>
      <c r="L165" s="1" t="str">
        <f t="shared" si="19"/>
        <v>155_MAS2_3_C4</v>
      </c>
      <c r="M165" s="1">
        <v>330.49</v>
      </c>
      <c r="N165" s="1">
        <v>1.2622</v>
      </c>
      <c r="O165" s="1">
        <v>2.0632999999999999</v>
      </c>
      <c r="P165" s="1">
        <v>3.1254</v>
      </c>
      <c r="Q165" s="1"/>
      <c r="R165" s="14">
        <f t="shared" si="20"/>
        <v>0.20009999999999994</v>
      </c>
      <c r="S165" s="14">
        <f t="shared" si="21"/>
        <v>9.6980565114137516</v>
      </c>
      <c r="U165" s="14">
        <f t="shared" si="22"/>
        <v>34.077961869065476</v>
      </c>
      <c r="V165" s="14">
        <f t="shared" si="24"/>
        <v>296.41203813093455</v>
      </c>
      <c r="Z165" s="14">
        <f t="shared" si="23"/>
        <v>89.688655672163918</v>
      </c>
    </row>
    <row r="166" spans="1:26" ht="16" x14ac:dyDescent="0.2">
      <c r="A166" t="s">
        <v>43</v>
      </c>
      <c r="B166" s="2">
        <v>156</v>
      </c>
      <c r="C166" s="2">
        <v>4</v>
      </c>
      <c r="D166" s="2" t="s">
        <v>52</v>
      </c>
      <c r="E166" s="2" t="s">
        <v>45</v>
      </c>
      <c r="F166" s="2">
        <v>20</v>
      </c>
      <c r="G166" s="2">
        <v>3</v>
      </c>
      <c r="H166" s="2" t="s">
        <v>51</v>
      </c>
      <c r="I166" s="2" t="s">
        <v>50</v>
      </c>
      <c r="J166" s="2">
        <v>5</v>
      </c>
      <c r="K166" s="3" t="s">
        <v>48</v>
      </c>
      <c r="L166" s="2" t="str">
        <f t="shared" si="19"/>
        <v>156_MAS2_3_C5</v>
      </c>
      <c r="M166" s="2">
        <v>193.57</v>
      </c>
      <c r="N166" s="2">
        <v>1.2616000000000001</v>
      </c>
      <c r="O166" s="2">
        <v>2.0285000000000002</v>
      </c>
      <c r="P166" s="2">
        <v>3.0371000000000001</v>
      </c>
      <c r="Q166" s="2"/>
      <c r="R166" s="14">
        <f t="shared" si="20"/>
        <v>0.25300000000000011</v>
      </c>
      <c r="S166" s="14">
        <f t="shared" si="21"/>
        <v>12.472270150357412</v>
      </c>
      <c r="U166" s="14">
        <f t="shared" si="22"/>
        <v>15.52002944664031</v>
      </c>
      <c r="V166" s="14">
        <f t="shared" si="24"/>
        <v>178.04997055335969</v>
      </c>
      <c r="Z166" s="14">
        <f t="shared" si="23"/>
        <v>91.982213438735187</v>
      </c>
    </row>
    <row r="167" spans="1:26" ht="16" x14ac:dyDescent="0.2">
      <c r="A167" t="s">
        <v>43</v>
      </c>
      <c r="B167" s="1">
        <v>157</v>
      </c>
      <c r="C167" s="1">
        <v>4</v>
      </c>
      <c r="D167" s="1" t="s">
        <v>52</v>
      </c>
      <c r="E167" s="1" t="s">
        <v>45</v>
      </c>
      <c r="F167" s="1">
        <v>20</v>
      </c>
      <c r="G167" s="1">
        <v>4</v>
      </c>
      <c r="H167" s="1" t="s">
        <v>32</v>
      </c>
      <c r="I167" s="1" t="s">
        <v>33</v>
      </c>
      <c r="J167" s="1">
        <v>1</v>
      </c>
      <c r="K167" s="1" t="s">
        <v>34</v>
      </c>
      <c r="L167" s="1" t="str">
        <f t="shared" si="19"/>
        <v>157_MAS2_4_A1</v>
      </c>
      <c r="M167" s="1">
        <v>27.4</v>
      </c>
      <c r="N167" s="1">
        <v>1.2567999999999999</v>
      </c>
      <c r="O167" s="1">
        <v>2.2229999999999999</v>
      </c>
      <c r="P167" s="1">
        <v>3.3649</v>
      </c>
      <c r="Q167" s="1"/>
      <c r="R167" s="14">
        <f t="shared" si="20"/>
        <v>0.1149</v>
      </c>
      <c r="S167" s="14">
        <f t="shared" si="21"/>
        <v>5.1686909581646425</v>
      </c>
      <c r="U167" s="14">
        <f t="shared" si="22"/>
        <v>5.3011488250652734</v>
      </c>
      <c r="V167" s="14">
        <f t="shared" si="24"/>
        <v>22.098851174934726</v>
      </c>
      <c r="Z167" s="14">
        <f t="shared" si="23"/>
        <v>80.652741514360315</v>
      </c>
    </row>
    <row r="168" spans="1:26" ht="16" x14ac:dyDescent="0.2">
      <c r="A168" t="s">
        <v>43</v>
      </c>
      <c r="B168" s="2">
        <v>158</v>
      </c>
      <c r="C168" s="2">
        <v>4</v>
      </c>
      <c r="D168" s="2" t="s">
        <v>52</v>
      </c>
      <c r="E168" s="2" t="s">
        <v>45</v>
      </c>
      <c r="F168" s="2">
        <v>20</v>
      </c>
      <c r="G168" s="2">
        <v>4</v>
      </c>
      <c r="H168" s="2" t="s">
        <v>32</v>
      </c>
      <c r="I168" s="2" t="s">
        <v>33</v>
      </c>
      <c r="J168" s="2">
        <v>2</v>
      </c>
      <c r="K168" s="3" t="s">
        <v>35</v>
      </c>
      <c r="L168" s="2" t="str">
        <f t="shared" si="19"/>
        <v>158_MAS2_4_A2</v>
      </c>
      <c r="M168" s="2">
        <v>114.03</v>
      </c>
      <c r="N168" s="2">
        <v>1.2601</v>
      </c>
      <c r="O168" s="2">
        <v>2.0198999999999998</v>
      </c>
      <c r="P168" s="2">
        <v>3.1175999999999999</v>
      </c>
      <c r="Q168" s="2"/>
      <c r="R168" s="14">
        <f t="shared" si="20"/>
        <v>0.16239999999999988</v>
      </c>
      <c r="S168" s="14">
        <f t="shared" si="21"/>
        <v>8.040001980296049</v>
      </c>
      <c r="U168" s="14">
        <f t="shared" si="22"/>
        <v>14.182832327586217</v>
      </c>
      <c r="V168" s="14">
        <f t="shared" si="24"/>
        <v>99.847167672413789</v>
      </c>
      <c r="Z168" s="14">
        <f t="shared" si="23"/>
        <v>87.562192118226605</v>
      </c>
    </row>
    <row r="169" spans="1:26" ht="16" x14ac:dyDescent="0.2">
      <c r="A169" t="s">
        <v>43</v>
      </c>
      <c r="B169" s="1">
        <v>159</v>
      </c>
      <c r="C169" s="1">
        <v>4</v>
      </c>
      <c r="D169" s="1" t="s">
        <v>52</v>
      </c>
      <c r="E169" s="1" t="s">
        <v>45</v>
      </c>
      <c r="F169" s="1">
        <v>20</v>
      </c>
      <c r="G169" s="1">
        <v>4</v>
      </c>
      <c r="H169" s="1" t="s">
        <v>32</v>
      </c>
      <c r="I169" s="1" t="s">
        <v>33</v>
      </c>
      <c r="J169" s="1">
        <v>3</v>
      </c>
      <c r="K169" s="1" t="s">
        <v>46</v>
      </c>
      <c r="L169" s="1" t="str">
        <f t="shared" si="19"/>
        <v>159_MAS2_4_A3</v>
      </c>
      <c r="M169" s="1">
        <v>406.16</v>
      </c>
      <c r="N169" s="1">
        <v>1.2617</v>
      </c>
      <c r="O169" s="1">
        <v>2.2801</v>
      </c>
      <c r="P169" s="1">
        <v>3.3431999999999999</v>
      </c>
      <c r="Q169" s="1"/>
      <c r="R169" s="14">
        <f t="shared" si="20"/>
        <v>0.19860000000000033</v>
      </c>
      <c r="S169" s="14">
        <f t="shared" si="21"/>
        <v>8.710144291917036</v>
      </c>
      <c r="U169" s="14">
        <f t="shared" si="22"/>
        <v>46.630685599194287</v>
      </c>
      <c r="V169" s="14">
        <f t="shared" si="24"/>
        <v>359.52931440080573</v>
      </c>
      <c r="Z169" s="14">
        <f t="shared" si="23"/>
        <v>88.519133937562955</v>
      </c>
    </row>
    <row r="170" spans="1:26" ht="16" x14ac:dyDescent="0.2">
      <c r="A170" t="s">
        <v>43</v>
      </c>
      <c r="B170" s="2">
        <v>160</v>
      </c>
      <c r="C170" s="2">
        <v>4</v>
      </c>
      <c r="D170" s="2" t="s">
        <v>52</v>
      </c>
      <c r="E170" s="2" t="s">
        <v>45</v>
      </c>
      <c r="F170" s="2">
        <v>20</v>
      </c>
      <c r="G170" s="2">
        <v>4</v>
      </c>
      <c r="H170" s="2" t="s">
        <v>32</v>
      </c>
      <c r="I170" s="2" t="s">
        <v>33</v>
      </c>
      <c r="J170" s="2">
        <v>4</v>
      </c>
      <c r="K170" s="3" t="s">
        <v>47</v>
      </c>
      <c r="L170" s="2" t="str">
        <f t="shared" si="19"/>
        <v>160_MAS2_4_A4</v>
      </c>
      <c r="M170" s="2">
        <v>351.05</v>
      </c>
      <c r="N170" s="2">
        <v>1.2579</v>
      </c>
      <c r="O170" s="2">
        <v>2.0769000000000002</v>
      </c>
      <c r="P170" s="2">
        <v>3.1204000000000001</v>
      </c>
      <c r="Q170" s="2"/>
      <c r="R170" s="14">
        <f t="shared" si="20"/>
        <v>0.21440000000000037</v>
      </c>
      <c r="S170" s="14">
        <f t="shared" si="21"/>
        <v>10.323077663825911</v>
      </c>
      <c r="U170" s="14">
        <f t="shared" si="22"/>
        <v>34.006331389925322</v>
      </c>
      <c r="V170" s="14">
        <f t="shared" si="24"/>
        <v>317.04366861007469</v>
      </c>
      <c r="Z170" s="14">
        <f t="shared" si="23"/>
        <v>90.312966417910474</v>
      </c>
    </row>
    <row r="171" spans="1:26" ht="16" x14ac:dyDescent="0.2">
      <c r="A171" t="s">
        <v>43</v>
      </c>
      <c r="B171" s="1">
        <v>161</v>
      </c>
      <c r="C171" s="1">
        <v>4</v>
      </c>
      <c r="D171" s="1" t="s">
        <v>52</v>
      </c>
      <c r="E171" s="1" t="s">
        <v>45</v>
      </c>
      <c r="F171" s="1">
        <v>20</v>
      </c>
      <c r="G171" s="1">
        <v>4</v>
      </c>
      <c r="H171" s="1" t="s">
        <v>32</v>
      </c>
      <c r="I171" s="1" t="s">
        <v>33</v>
      </c>
      <c r="J171" s="1">
        <v>5</v>
      </c>
      <c r="K171" s="1" t="s">
        <v>48</v>
      </c>
      <c r="L171" s="1" t="str">
        <f t="shared" ref="L171:L191" si="25">_xlfn.CONCAT(B171,"_",D171,"_",G171,"_", H171,J171)</f>
        <v>161_MAS2_4_A5</v>
      </c>
      <c r="M171" s="1">
        <v>152.34</v>
      </c>
      <c r="N171" s="1">
        <v>1.2626999999999999</v>
      </c>
      <c r="O171" s="1">
        <v>2.0602999999999998</v>
      </c>
      <c r="P171" s="1">
        <v>3.1427</v>
      </c>
      <c r="Q171" s="1"/>
      <c r="R171" s="14">
        <f t="shared" si="20"/>
        <v>0.18029999999999946</v>
      </c>
      <c r="S171" s="14">
        <f t="shared" si="21"/>
        <v>8.7511527447458857</v>
      </c>
      <c r="U171" s="14">
        <f t="shared" si="22"/>
        <v>17.407992346089902</v>
      </c>
      <c r="V171" s="14">
        <f t="shared" si="24"/>
        <v>134.93200765391009</v>
      </c>
      <c r="Z171" s="14">
        <f t="shared" si="23"/>
        <v>88.572933998890704</v>
      </c>
    </row>
    <row r="172" spans="1:26" ht="16" x14ac:dyDescent="0.2">
      <c r="A172" t="s">
        <v>43</v>
      </c>
      <c r="B172" s="2">
        <v>162</v>
      </c>
      <c r="C172" s="2">
        <v>4</v>
      </c>
      <c r="D172" s="2" t="s">
        <v>52</v>
      </c>
      <c r="E172" s="2" t="s">
        <v>45</v>
      </c>
      <c r="F172" s="2">
        <v>20</v>
      </c>
      <c r="G172" s="2">
        <v>5</v>
      </c>
      <c r="H172" s="2" t="s">
        <v>32</v>
      </c>
      <c r="I172" s="2" t="s">
        <v>33</v>
      </c>
      <c r="J172" s="2">
        <v>1</v>
      </c>
      <c r="K172" s="3" t="s">
        <v>34</v>
      </c>
      <c r="L172" s="2" t="str">
        <f t="shared" si="25"/>
        <v>162_MAS2_5_A1</v>
      </c>
      <c r="M172" s="2">
        <v>103.69</v>
      </c>
      <c r="N172" s="2">
        <v>1.2605</v>
      </c>
      <c r="O172" s="2">
        <v>1.9903</v>
      </c>
      <c r="P172" s="2">
        <v>3.1457999999999999</v>
      </c>
      <c r="Q172" s="2"/>
      <c r="R172" s="14">
        <f t="shared" si="20"/>
        <v>0.10499999999999998</v>
      </c>
      <c r="S172" s="14">
        <f t="shared" si="21"/>
        <v>5.2755865949856799</v>
      </c>
      <c r="U172" s="14">
        <f t="shared" si="22"/>
        <v>19.654686380952384</v>
      </c>
      <c r="V172" s="14">
        <f t="shared" si="24"/>
        <v>84.035313619047614</v>
      </c>
      <c r="Z172" s="14">
        <f t="shared" si="23"/>
        <v>81.044761904761899</v>
      </c>
    </row>
    <row r="173" spans="1:26" ht="16" x14ac:dyDescent="0.2">
      <c r="A173" t="s">
        <v>43</v>
      </c>
      <c r="B173" s="1">
        <v>163</v>
      </c>
      <c r="C173" s="1">
        <v>4</v>
      </c>
      <c r="D173" s="1" t="s">
        <v>52</v>
      </c>
      <c r="E173" s="1" t="s">
        <v>45</v>
      </c>
      <c r="F173" s="1">
        <v>20</v>
      </c>
      <c r="G173" s="1">
        <v>5</v>
      </c>
      <c r="H173" s="1" t="s">
        <v>32</v>
      </c>
      <c r="I173" s="1" t="s">
        <v>33</v>
      </c>
      <c r="J173" s="1">
        <v>2</v>
      </c>
      <c r="K173" s="1" t="s">
        <v>35</v>
      </c>
      <c r="L173" s="1" t="str">
        <f t="shared" si="25"/>
        <v>163_MAS2_5_A2</v>
      </c>
      <c r="M173" s="1">
        <v>98.08</v>
      </c>
      <c r="N173" s="1">
        <v>1.2604</v>
      </c>
      <c r="O173" s="1">
        <v>2.0606</v>
      </c>
      <c r="P173" s="1">
        <v>3.1972999999999998</v>
      </c>
      <c r="Q173" s="1"/>
      <c r="R173" s="14">
        <f t="shared" si="20"/>
        <v>0.12369999999999992</v>
      </c>
      <c r="S173" s="14">
        <f t="shared" si="21"/>
        <v>6.0031058914879125</v>
      </c>
      <c r="U173" s="14">
        <f t="shared" si="22"/>
        <v>16.338209215844795</v>
      </c>
      <c r="V173" s="14">
        <f t="shared" si="24"/>
        <v>81.741790784155199</v>
      </c>
      <c r="Z173" s="14">
        <f t="shared" si="23"/>
        <v>83.341956345998369</v>
      </c>
    </row>
    <row r="174" spans="1:26" ht="16" x14ac:dyDescent="0.2">
      <c r="A174" t="s">
        <v>43</v>
      </c>
      <c r="B174" s="2">
        <v>164</v>
      </c>
      <c r="C174" s="2">
        <v>4</v>
      </c>
      <c r="D174" s="2" t="s">
        <v>52</v>
      </c>
      <c r="E174" s="2" t="s">
        <v>45</v>
      </c>
      <c r="F174" s="2">
        <v>20</v>
      </c>
      <c r="G174" s="2">
        <v>5</v>
      </c>
      <c r="H174" s="2" t="s">
        <v>32</v>
      </c>
      <c r="I174" s="2" t="s">
        <v>33</v>
      </c>
      <c r="J174" s="2">
        <v>3</v>
      </c>
      <c r="K174" s="3" t="s">
        <v>46</v>
      </c>
      <c r="L174" s="2" t="str">
        <f t="shared" si="25"/>
        <v>164_MAS2_5_A3</v>
      </c>
      <c r="M174" s="2">
        <v>388.62</v>
      </c>
      <c r="N174" s="2">
        <v>1.2622</v>
      </c>
      <c r="O174" s="2">
        <v>2.109</v>
      </c>
      <c r="P174" s="2">
        <v>3.1535000000000002</v>
      </c>
      <c r="Q174" s="2"/>
      <c r="R174" s="14">
        <f t="shared" si="20"/>
        <v>0.21769999999999978</v>
      </c>
      <c r="S174" s="14">
        <f t="shared" si="21"/>
        <v>10.322427690848732</v>
      </c>
      <c r="U174" s="14">
        <f t="shared" si="22"/>
        <v>37.64812034910431</v>
      </c>
      <c r="V174" s="14">
        <f t="shared" si="24"/>
        <v>350.97187965089569</v>
      </c>
      <c r="Z174" s="14">
        <f t="shared" si="23"/>
        <v>90.312356453835534</v>
      </c>
    </row>
    <row r="175" spans="1:26" ht="16" x14ac:dyDescent="0.2">
      <c r="A175" t="s">
        <v>43</v>
      </c>
      <c r="B175" s="1">
        <v>165</v>
      </c>
      <c r="C175" s="1">
        <v>4</v>
      </c>
      <c r="D175" s="1" t="s">
        <v>52</v>
      </c>
      <c r="E175" s="1" t="s">
        <v>45</v>
      </c>
      <c r="F175" s="1">
        <v>20</v>
      </c>
      <c r="G175" s="1">
        <v>5</v>
      </c>
      <c r="H175" s="1" t="s">
        <v>32</v>
      </c>
      <c r="I175" s="1" t="s">
        <v>33</v>
      </c>
      <c r="J175" s="1">
        <v>4</v>
      </c>
      <c r="K175" s="1" t="s">
        <v>47</v>
      </c>
      <c r="L175" s="1" t="str">
        <f t="shared" si="25"/>
        <v>165_MAS2_5_A4</v>
      </c>
      <c r="M175" s="1">
        <v>324.95</v>
      </c>
      <c r="N175" s="1">
        <v>1.2596000000000001</v>
      </c>
      <c r="O175" s="1">
        <v>2.0369000000000002</v>
      </c>
      <c r="P175" s="1">
        <v>3.1566999999999998</v>
      </c>
      <c r="Q175" s="1"/>
      <c r="R175" s="14">
        <f t="shared" si="20"/>
        <v>0.13980000000000015</v>
      </c>
      <c r="S175" s="14">
        <f t="shared" si="21"/>
        <v>6.8633708085816743</v>
      </c>
      <c r="U175" s="14">
        <f t="shared" si="22"/>
        <v>47.345540414878357</v>
      </c>
      <c r="V175" s="14">
        <f t="shared" si="24"/>
        <v>277.60445958512162</v>
      </c>
      <c r="Z175" s="14">
        <f t="shared" si="23"/>
        <v>85.429899856938491</v>
      </c>
    </row>
    <row r="176" spans="1:26" ht="16" x14ac:dyDescent="0.2">
      <c r="A176" t="s">
        <v>43</v>
      </c>
      <c r="B176" s="2">
        <v>166</v>
      </c>
      <c r="C176" s="2">
        <v>4</v>
      </c>
      <c r="D176" s="2" t="s">
        <v>52</v>
      </c>
      <c r="E176" s="2" t="s">
        <v>45</v>
      </c>
      <c r="F176" s="2">
        <v>20</v>
      </c>
      <c r="G176" s="2">
        <v>5</v>
      </c>
      <c r="H176" s="2" t="s">
        <v>32</v>
      </c>
      <c r="I176" s="2" t="s">
        <v>33</v>
      </c>
      <c r="J176" s="2">
        <v>5</v>
      </c>
      <c r="K176" s="3" t="s">
        <v>48</v>
      </c>
      <c r="L176" s="2" t="str">
        <f t="shared" si="25"/>
        <v>166_MAS2_5_A5</v>
      </c>
      <c r="M176" s="2">
        <v>43.25</v>
      </c>
      <c r="N176" s="2">
        <v>1.2601</v>
      </c>
      <c r="O176" s="2">
        <v>0.80979999999999996</v>
      </c>
      <c r="P176" s="2">
        <v>2.0116999999999998</v>
      </c>
      <c r="Q176" s="2"/>
      <c r="R176" s="14">
        <f t="shared" si="20"/>
        <v>5.8200000000000252E-2</v>
      </c>
      <c r="S176" s="14">
        <f t="shared" si="21"/>
        <v>7.1869597431464873</v>
      </c>
      <c r="U176" s="14">
        <f t="shared" si="22"/>
        <v>6.0178436426116573</v>
      </c>
      <c r="V176" s="14">
        <f t="shared" si="24"/>
        <v>37.232156357388341</v>
      </c>
      <c r="Z176" s="14">
        <f t="shared" si="23"/>
        <v>86.085910652921015</v>
      </c>
    </row>
    <row r="177" spans="1:26" ht="16" x14ac:dyDescent="0.2">
      <c r="A177" t="s">
        <v>43</v>
      </c>
      <c r="B177" s="1">
        <v>167</v>
      </c>
      <c r="C177" s="1">
        <v>4</v>
      </c>
      <c r="D177" s="1" t="s">
        <v>52</v>
      </c>
      <c r="E177" s="1" t="s">
        <v>45</v>
      </c>
      <c r="F177" s="1">
        <v>20</v>
      </c>
      <c r="G177" s="1">
        <v>6</v>
      </c>
      <c r="H177" s="1" t="s">
        <v>32</v>
      </c>
      <c r="I177" s="1" t="s">
        <v>33</v>
      </c>
      <c r="J177" s="1">
        <v>1</v>
      </c>
      <c r="K177" s="1" t="s">
        <v>34</v>
      </c>
      <c r="L177" s="1" t="str">
        <f t="shared" si="25"/>
        <v>167_MAS2_6_A1</v>
      </c>
      <c r="M177" s="1">
        <v>112.12</v>
      </c>
      <c r="N177" s="1">
        <v>1.2603</v>
      </c>
      <c r="O177" s="1">
        <v>2.1998000000000002</v>
      </c>
      <c r="P177" s="1">
        <v>3.4157999999999999</v>
      </c>
      <c r="Q177" s="1"/>
      <c r="R177" s="14">
        <f t="shared" si="20"/>
        <v>4.4300000000000228E-2</v>
      </c>
      <c r="S177" s="14">
        <f t="shared" si="21"/>
        <v>2.0138194381307493</v>
      </c>
      <c r="U177" s="14">
        <f t="shared" si="22"/>
        <v>55.675299322798821</v>
      </c>
      <c r="V177" s="14">
        <f t="shared" si="24"/>
        <v>56.444700677201183</v>
      </c>
      <c r="Z177" s="14">
        <f t="shared" si="23"/>
        <v>50.343115124153748</v>
      </c>
    </row>
    <row r="178" spans="1:26" ht="16" x14ac:dyDescent="0.2">
      <c r="A178" t="s">
        <v>43</v>
      </c>
      <c r="B178" s="2">
        <v>168</v>
      </c>
      <c r="C178" s="2">
        <v>4</v>
      </c>
      <c r="D178" s="2" t="s">
        <v>52</v>
      </c>
      <c r="E178" s="2" t="s">
        <v>45</v>
      </c>
      <c r="F178" s="2">
        <v>20</v>
      </c>
      <c r="G178" s="2">
        <v>6</v>
      </c>
      <c r="H178" s="2" t="s">
        <v>32</v>
      </c>
      <c r="I178" s="2" t="s">
        <v>33</v>
      </c>
      <c r="J178" s="2">
        <v>2</v>
      </c>
      <c r="K178" s="3" t="s">
        <v>35</v>
      </c>
      <c r="L178" s="2" t="str">
        <f t="shared" si="25"/>
        <v>168_MAS2_6_A2</v>
      </c>
      <c r="M178" s="2">
        <v>105.89</v>
      </c>
      <c r="N178" s="2">
        <v>1.2598</v>
      </c>
      <c r="O178" s="2">
        <v>2.2185999999999999</v>
      </c>
      <c r="P178" s="2">
        <v>3.3641000000000001</v>
      </c>
      <c r="Q178" s="2"/>
      <c r="R178" s="14">
        <f t="shared" si="20"/>
        <v>0.11429999999999962</v>
      </c>
      <c r="S178" s="14">
        <f t="shared" si="21"/>
        <v>5.1518975930766988</v>
      </c>
      <c r="U178" s="14">
        <f t="shared" si="22"/>
        <v>20.55359177602806</v>
      </c>
      <c r="V178" s="14">
        <f t="shared" si="24"/>
        <v>85.336408223971944</v>
      </c>
      <c r="Z178" s="14">
        <f t="shared" si="23"/>
        <v>80.589676290463629</v>
      </c>
    </row>
    <row r="179" spans="1:26" ht="16" x14ac:dyDescent="0.2">
      <c r="A179" t="s">
        <v>43</v>
      </c>
      <c r="B179" s="1">
        <v>169</v>
      </c>
      <c r="C179" s="1">
        <v>4</v>
      </c>
      <c r="D179" s="1" t="s">
        <v>52</v>
      </c>
      <c r="E179" s="1" t="s">
        <v>45</v>
      </c>
      <c r="F179" s="1">
        <v>20</v>
      </c>
      <c r="G179" s="1">
        <v>6</v>
      </c>
      <c r="H179" s="1" t="s">
        <v>32</v>
      </c>
      <c r="I179" s="1" t="s">
        <v>33</v>
      </c>
      <c r="J179" s="1">
        <v>3</v>
      </c>
      <c r="K179" s="1" t="s">
        <v>46</v>
      </c>
      <c r="L179" s="1" t="str">
        <f t="shared" si="25"/>
        <v>169_MAS2_6_A3</v>
      </c>
      <c r="M179" s="1">
        <v>349.75</v>
      </c>
      <c r="N179" s="1">
        <v>1.258</v>
      </c>
      <c r="O179" s="1">
        <v>2.0426000000000002</v>
      </c>
      <c r="P179" s="1">
        <v>3.1473</v>
      </c>
      <c r="Q179" s="1"/>
      <c r="R179" s="14">
        <f t="shared" si="20"/>
        <v>0.15330000000000021</v>
      </c>
      <c r="S179" s="14">
        <f t="shared" si="21"/>
        <v>7.5051405071967201</v>
      </c>
      <c r="U179" s="14">
        <f t="shared" si="22"/>
        <v>46.601392694063861</v>
      </c>
      <c r="V179" s="14">
        <f t="shared" si="24"/>
        <v>303.14860730593614</v>
      </c>
      <c r="Z179" s="14">
        <f t="shared" si="23"/>
        <v>86.675799086758005</v>
      </c>
    </row>
    <row r="180" spans="1:26" ht="16" x14ac:dyDescent="0.2">
      <c r="A180" t="s">
        <v>43</v>
      </c>
      <c r="B180" s="2">
        <v>170</v>
      </c>
      <c r="C180" s="2">
        <v>4</v>
      </c>
      <c r="D180" s="2" t="s">
        <v>52</v>
      </c>
      <c r="E180" s="2" t="s">
        <v>45</v>
      </c>
      <c r="F180" s="2">
        <v>20</v>
      </c>
      <c r="G180" s="2">
        <v>6</v>
      </c>
      <c r="H180" s="2" t="s">
        <v>32</v>
      </c>
      <c r="I180" s="2" t="s">
        <v>33</v>
      </c>
      <c r="J180" s="2">
        <v>4</v>
      </c>
      <c r="K180" s="3" t="s">
        <v>47</v>
      </c>
      <c r="L180" s="2" t="str">
        <f t="shared" si="25"/>
        <v>170_MAS2_6_A4</v>
      </c>
      <c r="M180" s="2">
        <v>323.89999999999998</v>
      </c>
      <c r="N180" s="2">
        <v>1.2573000000000001</v>
      </c>
      <c r="O180" s="2">
        <v>2.0903999999999998</v>
      </c>
      <c r="P180" s="2">
        <v>3.1726000000000001</v>
      </c>
      <c r="Q180" s="2"/>
      <c r="R180" s="14">
        <f t="shared" si="20"/>
        <v>0.17509999999999959</v>
      </c>
      <c r="S180" s="14">
        <f t="shared" si="21"/>
        <v>8.3763872942977233</v>
      </c>
      <c r="U180" s="14">
        <f t="shared" si="22"/>
        <v>38.668221587664277</v>
      </c>
      <c r="V180" s="14">
        <f t="shared" si="24"/>
        <v>285.2317784123357</v>
      </c>
      <c r="Z180" s="14">
        <f t="shared" si="23"/>
        <v>88.061679040548242</v>
      </c>
    </row>
    <row r="181" spans="1:26" ht="16" x14ac:dyDescent="0.2">
      <c r="A181" t="s">
        <v>43</v>
      </c>
      <c r="B181" s="1">
        <v>171</v>
      </c>
      <c r="C181" s="1">
        <v>4</v>
      </c>
      <c r="D181" s="1" t="s">
        <v>52</v>
      </c>
      <c r="E181" s="1" t="s">
        <v>45</v>
      </c>
      <c r="F181" s="1">
        <v>20</v>
      </c>
      <c r="G181" s="1">
        <v>6</v>
      </c>
      <c r="H181" s="1" t="s">
        <v>32</v>
      </c>
      <c r="I181" s="1" t="s">
        <v>33</v>
      </c>
      <c r="J181" s="1">
        <v>5</v>
      </c>
      <c r="K181" s="1" t="s">
        <v>48</v>
      </c>
      <c r="L181" s="1" t="str">
        <f t="shared" si="25"/>
        <v>171_MAS2_6_A5</v>
      </c>
      <c r="M181" s="1"/>
      <c r="N181" s="1"/>
      <c r="O181" s="1"/>
      <c r="P181" s="1"/>
      <c r="Q181" s="1"/>
      <c r="R181" s="14">
        <f t="shared" si="20"/>
        <v>0</v>
      </c>
      <c r="S181" s="14" t="e">
        <f t="shared" si="21"/>
        <v>#DIV/0!</v>
      </c>
      <c r="U181" s="14" t="e">
        <f t="shared" si="22"/>
        <v>#DIV/0!</v>
      </c>
      <c r="V181" s="14" t="e">
        <f t="shared" si="24"/>
        <v>#DIV/0!</v>
      </c>
      <c r="Z181" s="14" t="e">
        <f t="shared" si="23"/>
        <v>#DIV/0!</v>
      </c>
    </row>
    <row r="182" spans="1:26" ht="16" x14ac:dyDescent="0.2">
      <c r="A182" t="s">
        <v>43</v>
      </c>
      <c r="B182" s="2">
        <v>172</v>
      </c>
      <c r="C182" s="2">
        <v>4</v>
      </c>
      <c r="D182" s="2" t="s">
        <v>52</v>
      </c>
      <c r="E182" s="2" t="s">
        <v>45</v>
      </c>
      <c r="F182" s="2">
        <v>20</v>
      </c>
      <c r="G182" s="2">
        <v>6</v>
      </c>
      <c r="H182" s="2" t="s">
        <v>49</v>
      </c>
      <c r="I182" s="2" t="s">
        <v>50</v>
      </c>
      <c r="J182" s="2">
        <v>1</v>
      </c>
      <c r="K182" s="3" t="s">
        <v>34</v>
      </c>
      <c r="L182" s="2" t="str">
        <f t="shared" si="25"/>
        <v>172_MAS2_6_B1</v>
      </c>
      <c r="M182" s="2">
        <v>98.01</v>
      </c>
      <c r="N182" s="2">
        <v>1.2596000000000001</v>
      </c>
      <c r="O182" s="2">
        <v>2.2852999999999999</v>
      </c>
      <c r="P182" s="2">
        <v>3.4361999999999999</v>
      </c>
      <c r="Q182" s="2"/>
      <c r="R182" s="14">
        <f t="shared" si="20"/>
        <v>0.10870000000000024</v>
      </c>
      <c r="S182" s="14">
        <f t="shared" si="21"/>
        <v>4.7564871132892943</v>
      </c>
      <c r="U182" s="14">
        <f t="shared" si="22"/>
        <v>20.605543054277785</v>
      </c>
      <c r="V182" s="14">
        <f t="shared" si="24"/>
        <v>77.404456945722217</v>
      </c>
      <c r="Z182" s="14">
        <f t="shared" si="23"/>
        <v>78.976080956761777</v>
      </c>
    </row>
    <row r="183" spans="1:26" ht="16" x14ac:dyDescent="0.2">
      <c r="A183" t="s">
        <v>43</v>
      </c>
      <c r="B183" s="1">
        <v>173</v>
      </c>
      <c r="C183" s="1">
        <v>4</v>
      </c>
      <c r="D183" s="1" t="s">
        <v>52</v>
      </c>
      <c r="E183" s="1" t="s">
        <v>45</v>
      </c>
      <c r="F183" s="1">
        <v>20</v>
      </c>
      <c r="G183" s="1">
        <v>6</v>
      </c>
      <c r="H183" s="1" t="s">
        <v>49</v>
      </c>
      <c r="I183" s="1" t="s">
        <v>50</v>
      </c>
      <c r="J183" s="1">
        <v>2</v>
      </c>
      <c r="K183" s="1" t="s">
        <v>35</v>
      </c>
      <c r="L183" s="1" t="str">
        <f t="shared" si="25"/>
        <v>173_MAS2_6_B2</v>
      </c>
      <c r="M183" s="1">
        <v>65.489999999999995</v>
      </c>
      <c r="N183" s="1">
        <v>1.2586999999999999</v>
      </c>
      <c r="O183" s="1">
        <v>1.59</v>
      </c>
      <c r="P183" s="1">
        <v>2.7656999999999998</v>
      </c>
      <c r="Q183" s="1"/>
      <c r="R183" s="14">
        <f t="shared" si="20"/>
        <v>8.3000000000000185E-2</v>
      </c>
      <c r="S183" s="14">
        <f t="shared" si="21"/>
        <v>5.2201257861635337</v>
      </c>
      <c r="U183" s="14">
        <f t="shared" si="22"/>
        <v>12.545674698795152</v>
      </c>
      <c r="V183" s="14">
        <f t="shared" si="24"/>
        <v>52.944325301204842</v>
      </c>
      <c r="Z183" s="14">
        <f t="shared" si="23"/>
        <v>80.843373493975946</v>
      </c>
    </row>
    <row r="184" spans="1:26" ht="16" x14ac:dyDescent="0.2">
      <c r="A184" t="s">
        <v>43</v>
      </c>
      <c r="B184" s="2">
        <v>174</v>
      </c>
      <c r="C184" s="2">
        <v>4</v>
      </c>
      <c r="D184" s="2" t="s">
        <v>52</v>
      </c>
      <c r="E184" s="2" t="s">
        <v>45</v>
      </c>
      <c r="F184" s="2">
        <v>20</v>
      </c>
      <c r="G184" s="2">
        <v>6</v>
      </c>
      <c r="H184" s="2" t="s">
        <v>49</v>
      </c>
      <c r="I184" s="2" t="s">
        <v>50</v>
      </c>
      <c r="J184" s="2">
        <v>3</v>
      </c>
      <c r="K184" s="3" t="s">
        <v>46</v>
      </c>
      <c r="L184" s="2" t="str">
        <f t="shared" si="25"/>
        <v>174_MAS2_6_B3</v>
      </c>
      <c r="M184" s="2">
        <v>57.3</v>
      </c>
      <c r="N184" s="2">
        <v>1.2609999999999999</v>
      </c>
      <c r="O184" s="2">
        <v>0.87280000000000002</v>
      </c>
      <c r="P184" s="2">
        <v>2.0827</v>
      </c>
      <c r="Q184" s="2"/>
      <c r="R184" s="14">
        <f t="shared" si="20"/>
        <v>5.1099999999999923E-2</v>
      </c>
      <c r="S184" s="14">
        <f t="shared" si="21"/>
        <v>5.8547204399633275</v>
      </c>
      <c r="U184" s="14">
        <f t="shared" si="22"/>
        <v>9.786974559686902</v>
      </c>
      <c r="V184" s="14">
        <f t="shared" si="24"/>
        <v>47.513025440313093</v>
      </c>
      <c r="Z184" s="14">
        <f t="shared" si="23"/>
        <v>82.919765166340483</v>
      </c>
    </row>
    <row r="185" spans="1:26" ht="16" x14ac:dyDescent="0.2">
      <c r="A185" t="s">
        <v>43</v>
      </c>
      <c r="B185" s="1">
        <v>175</v>
      </c>
      <c r="C185" s="1">
        <v>4</v>
      </c>
      <c r="D185" s="1" t="s">
        <v>52</v>
      </c>
      <c r="E185" s="1" t="s">
        <v>45</v>
      </c>
      <c r="F185" s="1">
        <v>20</v>
      </c>
      <c r="G185" s="1">
        <v>6</v>
      </c>
      <c r="H185" s="1" t="s">
        <v>49</v>
      </c>
      <c r="I185" s="1" t="s">
        <v>50</v>
      </c>
      <c r="J185" s="1">
        <v>4</v>
      </c>
      <c r="K185" s="1" t="s">
        <v>47</v>
      </c>
      <c r="L185" s="1" t="str">
        <f t="shared" si="25"/>
        <v>175_MAS2_6_B4</v>
      </c>
      <c r="M185" s="1">
        <v>369.65</v>
      </c>
      <c r="N185" s="1">
        <v>1.2592000000000001</v>
      </c>
      <c r="O185" s="1">
        <v>2.0722</v>
      </c>
      <c r="P185" s="1">
        <v>3.1837</v>
      </c>
      <c r="Q185" s="1"/>
      <c r="R185" s="14">
        <f t="shared" si="20"/>
        <v>0.14770000000000039</v>
      </c>
      <c r="S185" s="14">
        <f t="shared" si="21"/>
        <v>7.1276903773767195</v>
      </c>
      <c r="U185" s="14">
        <f t="shared" si="22"/>
        <v>51.861119160460255</v>
      </c>
      <c r="V185" s="14">
        <f t="shared" si="24"/>
        <v>317.78888083953973</v>
      </c>
      <c r="Z185" s="14">
        <f t="shared" si="23"/>
        <v>85.970209884901877</v>
      </c>
    </row>
    <row r="186" spans="1:26" ht="16" x14ac:dyDescent="0.2">
      <c r="A186" t="s">
        <v>43</v>
      </c>
      <c r="B186" s="2">
        <v>176</v>
      </c>
      <c r="C186" s="2">
        <v>4</v>
      </c>
      <c r="D186" s="2" t="s">
        <v>52</v>
      </c>
      <c r="E186" s="2" t="s">
        <v>45</v>
      </c>
      <c r="F186" s="2">
        <v>20</v>
      </c>
      <c r="G186" s="2">
        <v>6</v>
      </c>
      <c r="H186" s="2" t="s">
        <v>49</v>
      </c>
      <c r="I186" s="2" t="s">
        <v>50</v>
      </c>
      <c r="J186" s="2">
        <v>5</v>
      </c>
      <c r="K186" s="3" t="s">
        <v>48</v>
      </c>
      <c r="L186" s="2" t="str">
        <f t="shared" si="25"/>
        <v>176_MAS2_6_B5</v>
      </c>
      <c r="M186" s="2">
        <v>173.56</v>
      </c>
      <c r="N186" s="2">
        <v>1.2762</v>
      </c>
      <c r="O186" s="2">
        <v>2.1331000000000002</v>
      </c>
      <c r="P186" s="2">
        <v>3.2281</v>
      </c>
      <c r="Q186" s="2"/>
      <c r="R186" s="14">
        <f t="shared" si="20"/>
        <v>0.18120000000000003</v>
      </c>
      <c r="S186" s="14">
        <f t="shared" si="21"/>
        <v>8.4946791055271671</v>
      </c>
      <c r="U186" s="14">
        <f t="shared" si="22"/>
        <v>20.431613465783666</v>
      </c>
      <c r="V186" s="14">
        <f t="shared" si="24"/>
        <v>153.12838653421633</v>
      </c>
      <c r="Z186" s="14">
        <f t="shared" si="23"/>
        <v>88.227924944812358</v>
      </c>
    </row>
    <row r="187" spans="1:26" ht="16" x14ac:dyDescent="0.2">
      <c r="A187" t="s">
        <v>43</v>
      </c>
      <c r="B187" s="1">
        <v>177</v>
      </c>
      <c r="C187" s="1">
        <v>4</v>
      </c>
      <c r="D187" s="1" t="s">
        <v>52</v>
      </c>
      <c r="E187" s="1" t="s">
        <v>45</v>
      </c>
      <c r="F187" s="1">
        <v>20</v>
      </c>
      <c r="G187" s="1">
        <v>6</v>
      </c>
      <c r="H187" s="1" t="s">
        <v>51</v>
      </c>
      <c r="I187" s="1" t="s">
        <v>50</v>
      </c>
      <c r="J187" s="1">
        <v>1</v>
      </c>
      <c r="K187" s="1" t="s">
        <v>34</v>
      </c>
      <c r="L187" s="1" t="str">
        <f t="shared" si="25"/>
        <v>177_MAS2_6_C1</v>
      </c>
      <c r="M187">
        <v>101.33</v>
      </c>
      <c r="N187" s="1">
        <v>1.2579</v>
      </c>
      <c r="O187" s="1">
        <v>2.0674000000000001</v>
      </c>
      <c r="P187" s="1">
        <v>3.2515000000000001</v>
      </c>
      <c r="Q187" s="1"/>
      <c r="R187" s="14">
        <f t="shared" si="20"/>
        <v>7.380000000000031E-2</v>
      </c>
      <c r="S187" s="14">
        <f t="shared" si="21"/>
        <v>3.5697010738125328</v>
      </c>
      <c r="U187" s="14">
        <f t="shared" si="22"/>
        <v>28.386130352303407</v>
      </c>
      <c r="V187" s="14">
        <f t="shared" si="24"/>
        <v>72.943869647696587</v>
      </c>
      <c r="Z187" s="14">
        <f t="shared" si="23"/>
        <v>71.986449864498752</v>
      </c>
    </row>
    <row r="188" spans="1:26" ht="16" x14ac:dyDescent="0.2">
      <c r="A188" t="s">
        <v>43</v>
      </c>
      <c r="B188" s="2">
        <v>178</v>
      </c>
      <c r="C188" s="2">
        <v>4</v>
      </c>
      <c r="D188" s="2" t="s">
        <v>52</v>
      </c>
      <c r="E188" s="2" t="s">
        <v>45</v>
      </c>
      <c r="F188" s="2">
        <v>20</v>
      </c>
      <c r="G188" s="2">
        <v>6</v>
      </c>
      <c r="H188" s="2" t="s">
        <v>51</v>
      </c>
      <c r="I188" s="2" t="s">
        <v>50</v>
      </c>
      <c r="J188" s="2">
        <v>2</v>
      </c>
      <c r="K188" s="3" t="s">
        <v>35</v>
      </c>
      <c r="L188" s="2" t="str">
        <f t="shared" si="25"/>
        <v>178_MAS2_6_C2</v>
      </c>
      <c r="M188" s="2">
        <v>101.34</v>
      </c>
      <c r="N188" s="2">
        <v>1.2604</v>
      </c>
      <c r="O188" s="2">
        <v>2.0461999999999998</v>
      </c>
      <c r="P188" s="2">
        <v>3.2261000000000002</v>
      </c>
      <c r="Q188" s="2"/>
      <c r="R188" s="14">
        <f t="shared" si="20"/>
        <v>8.049999999999935E-2</v>
      </c>
      <c r="S188" s="14">
        <f t="shared" si="21"/>
        <v>3.9341217867265841</v>
      </c>
      <c r="U188" s="14">
        <f t="shared" si="22"/>
        <v>25.759243229813869</v>
      </c>
      <c r="V188" s="14">
        <f t="shared" si="24"/>
        <v>75.580756770186127</v>
      </c>
      <c r="Z188" s="14">
        <f t="shared" si="23"/>
        <v>74.58136645962712</v>
      </c>
    </row>
    <row r="189" spans="1:26" ht="16" x14ac:dyDescent="0.2">
      <c r="A189" t="s">
        <v>43</v>
      </c>
      <c r="B189" s="1">
        <v>179</v>
      </c>
      <c r="C189" s="1">
        <v>4</v>
      </c>
      <c r="D189" s="1" t="s">
        <v>52</v>
      </c>
      <c r="E189" s="1" t="s">
        <v>45</v>
      </c>
      <c r="F189" s="1">
        <v>20</v>
      </c>
      <c r="G189" s="1">
        <v>6</v>
      </c>
      <c r="H189" s="1" t="s">
        <v>51</v>
      </c>
      <c r="I189" s="1" t="s">
        <v>50</v>
      </c>
      <c r="J189" s="1">
        <v>3</v>
      </c>
      <c r="K189" s="1" t="s">
        <v>46</v>
      </c>
      <c r="L189" s="1" t="str">
        <f t="shared" si="25"/>
        <v>179_MAS2_6_C3</v>
      </c>
      <c r="M189" s="1">
        <v>365.2</v>
      </c>
      <c r="N189" s="1">
        <v>1.2588999999999999</v>
      </c>
      <c r="O189" s="1">
        <v>1.2191000000000001</v>
      </c>
      <c r="P189" s="1">
        <v>3.5785</v>
      </c>
      <c r="Q189" s="1"/>
      <c r="R189" s="14">
        <f t="shared" si="20"/>
        <v>-1.1005000000000003</v>
      </c>
      <c r="S189" s="14">
        <f t="shared" si="21"/>
        <v>-90.271511770978606</v>
      </c>
      <c r="U189" s="14">
        <f t="shared" si="22"/>
        <v>-4.045573103134938</v>
      </c>
      <c r="V189" s="14">
        <f t="shared" si="24"/>
        <v>369.24557310313492</v>
      </c>
      <c r="Z189" s="14">
        <f t="shared" si="23"/>
        <v>101.10776919582007</v>
      </c>
    </row>
    <row r="190" spans="1:26" ht="16" x14ac:dyDescent="0.2">
      <c r="A190" t="s">
        <v>43</v>
      </c>
      <c r="B190" s="2">
        <v>180</v>
      </c>
      <c r="C190" s="2">
        <v>4</v>
      </c>
      <c r="D190" s="2" t="s">
        <v>52</v>
      </c>
      <c r="E190" s="2" t="s">
        <v>45</v>
      </c>
      <c r="F190" s="2">
        <v>20</v>
      </c>
      <c r="G190" s="2">
        <v>6</v>
      </c>
      <c r="H190" s="2" t="s">
        <v>51</v>
      </c>
      <c r="I190" s="2" t="s">
        <v>50</v>
      </c>
      <c r="J190" s="2">
        <v>4</v>
      </c>
      <c r="K190" s="3" t="s">
        <v>47</v>
      </c>
      <c r="L190" s="2" t="str">
        <f t="shared" si="25"/>
        <v>180_MAS2_6_C4</v>
      </c>
      <c r="M190" s="2">
        <v>56.36</v>
      </c>
      <c r="N190" s="2">
        <v>1.2611000000000001</v>
      </c>
      <c r="O190" s="2">
        <v>0.98839999999999995</v>
      </c>
      <c r="P190" s="2">
        <v>2.1707999999999998</v>
      </c>
      <c r="Q190" s="2"/>
      <c r="R190" s="14">
        <f t="shared" si="20"/>
        <v>7.8700000000000436E-2</v>
      </c>
      <c r="S190" s="14">
        <f t="shared" si="21"/>
        <v>7.9623634156212502</v>
      </c>
      <c r="U190" s="14">
        <f t="shared" si="22"/>
        <v>7.0783003811943699</v>
      </c>
      <c r="V190" s="14">
        <f t="shared" si="24"/>
        <v>49.281699618805632</v>
      </c>
      <c r="Z190" s="14">
        <f t="shared" si="23"/>
        <v>87.440914866582034</v>
      </c>
    </row>
    <row r="191" spans="1:26" ht="16" x14ac:dyDescent="0.2">
      <c r="A191" t="s">
        <v>43</v>
      </c>
      <c r="B191" s="1">
        <v>181</v>
      </c>
      <c r="C191" s="1">
        <v>4</v>
      </c>
      <c r="D191" s="1" t="s">
        <v>52</v>
      </c>
      <c r="E191" s="1" t="s">
        <v>45</v>
      </c>
      <c r="F191" s="1">
        <v>20</v>
      </c>
      <c r="G191" s="1">
        <v>6</v>
      </c>
      <c r="H191" s="1" t="s">
        <v>51</v>
      </c>
      <c r="I191" s="1" t="s">
        <v>50</v>
      </c>
      <c r="J191" s="1">
        <v>5</v>
      </c>
      <c r="K191" s="1" t="s">
        <v>48</v>
      </c>
      <c r="L191" s="1" t="str">
        <f t="shared" si="25"/>
        <v>181_MAS2_6_C5</v>
      </c>
      <c r="M191" s="1"/>
      <c r="N191" s="1"/>
      <c r="O191" s="1"/>
      <c r="P191" s="1"/>
      <c r="Q191" s="1"/>
      <c r="R191" s="14">
        <f t="shared" si="20"/>
        <v>0</v>
      </c>
      <c r="U191" s="14" t="e">
        <f t="shared" si="22"/>
        <v>#DIV/0!</v>
      </c>
      <c r="V191" s="14" t="e">
        <f t="shared" si="24"/>
        <v>#DIV/0!</v>
      </c>
      <c r="Z191" s="14" t="e">
        <f t="shared" si="23"/>
        <v>#DIV/0!</v>
      </c>
    </row>
    <row r="192" spans="1:26" ht="16" x14ac:dyDescent="0.2">
      <c r="M192" s="9"/>
      <c r="N192" s="9"/>
      <c r="O192" s="9"/>
      <c r="P192" s="9"/>
    </row>
    <row r="193" spans="2:26" ht="16" x14ac:dyDescent="0.2">
      <c r="B193" t="s">
        <v>53</v>
      </c>
      <c r="M193" s="10">
        <v>144.69999999999999</v>
      </c>
      <c r="N193" s="10">
        <v>1.2642</v>
      </c>
      <c r="O193" s="10">
        <v>2.1427</v>
      </c>
      <c r="P193" s="10">
        <v>3.1852999999999998</v>
      </c>
      <c r="R193" s="14">
        <f t="shared" si="20"/>
        <v>0.22160000000000046</v>
      </c>
      <c r="S193" s="14">
        <f t="shared" si="21"/>
        <v>10.34209175339527</v>
      </c>
      <c r="U193" s="14">
        <f t="shared" si="22"/>
        <v>13.991366877256288</v>
      </c>
      <c r="V193" s="14">
        <f t="shared" si="24"/>
        <v>130.70863312274369</v>
      </c>
      <c r="Z193" s="14">
        <f t="shared" si="23"/>
        <v>90.330776173285216</v>
      </c>
    </row>
    <row r="194" spans="2:26" ht="16" x14ac:dyDescent="0.2">
      <c r="B194" t="s">
        <v>54</v>
      </c>
      <c r="M194" s="9">
        <v>79.16</v>
      </c>
      <c r="N194" s="9">
        <v>1.2713000000000001</v>
      </c>
      <c r="O194" s="9">
        <v>2.1427</v>
      </c>
      <c r="P194" s="9">
        <v>3.1970000000000001</v>
      </c>
      <c r="R194" s="14">
        <f t="shared" si="20"/>
        <v>0.21700000000000008</v>
      </c>
      <c r="S194" s="14">
        <f t="shared" si="21"/>
        <v>10.12740934335185</v>
      </c>
      <c r="U194" s="14">
        <f t="shared" si="22"/>
        <v>7.816411612903222</v>
      </c>
      <c r="V194" s="14">
        <f t="shared" si="24"/>
        <v>71.343588387096773</v>
      </c>
      <c r="Z194" s="14">
        <f t="shared" si="23"/>
        <v>90.125806451612917</v>
      </c>
    </row>
    <row r="195" spans="2:26" ht="16" x14ac:dyDescent="0.2">
      <c r="B195" t="s">
        <v>55</v>
      </c>
      <c r="M195" s="10">
        <v>138.68</v>
      </c>
      <c r="N195" s="10">
        <v>1.2633000000000001</v>
      </c>
      <c r="O195" s="10">
        <v>2.0891000000000002</v>
      </c>
      <c r="P195" s="10">
        <v>3.0440999999999998</v>
      </c>
      <c r="R195" s="14">
        <f t="shared" si="20"/>
        <v>0.30830000000000046</v>
      </c>
      <c r="S195" s="14">
        <f t="shared" si="21"/>
        <v>14.75755109855921</v>
      </c>
      <c r="U195" s="14">
        <f t="shared" si="22"/>
        <v>9.3972230943885684</v>
      </c>
      <c r="V195" s="14">
        <f t="shared" si="24"/>
        <v>129.28277690561143</v>
      </c>
      <c r="Z195" s="14">
        <f t="shared" si="23"/>
        <v>93.223807979241002</v>
      </c>
    </row>
    <row r="196" spans="2:26" ht="16" x14ac:dyDescent="0.2">
      <c r="B196" t="s">
        <v>56</v>
      </c>
      <c r="M196" s="9">
        <v>48.34</v>
      </c>
      <c r="N196" s="9">
        <v>1.2967</v>
      </c>
      <c r="O196" s="9">
        <v>0.84709999999999996</v>
      </c>
      <c r="P196" s="9">
        <v>1.9529000000000001</v>
      </c>
      <c r="R196" s="14">
        <f t="shared" si="20"/>
        <v>0.19089999999999963</v>
      </c>
      <c r="S196" s="14">
        <f t="shared" si="21"/>
        <v>22.535710069649348</v>
      </c>
      <c r="U196" s="14">
        <f t="shared" si="22"/>
        <v>2.1450400209533833</v>
      </c>
      <c r="V196" s="14">
        <f t="shared" si="24"/>
        <v>46.194959979046622</v>
      </c>
      <c r="Z196" s="14">
        <f t="shared" si="23"/>
        <v>95.562598218962805</v>
      </c>
    </row>
    <row r="197" spans="2:26" ht="16" x14ac:dyDescent="0.2">
      <c r="B197" t="s">
        <v>57</v>
      </c>
      <c r="M197" s="10">
        <v>240.36</v>
      </c>
      <c r="N197" s="10">
        <v>1.2715000000000001</v>
      </c>
      <c r="O197" s="10">
        <v>2.1604000000000001</v>
      </c>
      <c r="P197" s="10">
        <v>3.1494</v>
      </c>
      <c r="R197" s="14">
        <f t="shared" si="20"/>
        <v>0.2825000000000002</v>
      </c>
      <c r="S197" s="14">
        <f t="shared" si="21"/>
        <v>13.076282169968534</v>
      </c>
      <c r="U197" s="14">
        <f t="shared" si="22"/>
        <v>18.381371469026536</v>
      </c>
      <c r="V197" s="14">
        <f t="shared" si="24"/>
        <v>221.97862853097348</v>
      </c>
      <c r="Z197" s="14">
        <f t="shared" si="23"/>
        <v>92.352566371681419</v>
      </c>
    </row>
    <row r="198" spans="2:26" ht="16" x14ac:dyDescent="0.2">
      <c r="B198" t="s">
        <v>58</v>
      </c>
      <c r="M198" s="9">
        <v>133.27000000000001</v>
      </c>
      <c r="N198" s="9">
        <v>1.2584</v>
      </c>
      <c r="O198" s="9">
        <v>2.4104999999999999</v>
      </c>
      <c r="P198" s="9">
        <v>3.4472</v>
      </c>
      <c r="R198" s="14">
        <f t="shared" si="20"/>
        <v>0.22169999999999979</v>
      </c>
      <c r="S198" s="14">
        <f t="shared" si="21"/>
        <v>9.1972619788425547</v>
      </c>
      <c r="U198" s="14">
        <f t="shared" si="22"/>
        <v>14.490182002706375</v>
      </c>
      <c r="V198" s="14">
        <f t="shared" si="24"/>
        <v>118.77981799729363</v>
      </c>
      <c r="Z198" s="14">
        <f t="shared" si="23"/>
        <v>89.127198917456013</v>
      </c>
    </row>
    <row r="199" spans="2:26" ht="16" x14ac:dyDescent="0.2">
      <c r="B199" t="s">
        <v>59</v>
      </c>
      <c r="M199" s="10">
        <v>125.84</v>
      </c>
      <c r="N199" s="10">
        <v>1.2645999999999999</v>
      </c>
      <c r="O199" s="10">
        <v>2.145</v>
      </c>
      <c r="P199" s="10">
        <v>3.1865999999999999</v>
      </c>
      <c r="R199" s="14">
        <f t="shared" si="20"/>
        <v>0.22300000000000031</v>
      </c>
      <c r="S199" s="14">
        <f t="shared" si="21"/>
        <v>10.39627039627041</v>
      </c>
      <c r="U199" s="14">
        <f t="shared" si="22"/>
        <v>12.104340807174873</v>
      </c>
      <c r="V199" s="14">
        <f t="shared" si="24"/>
        <v>113.73565919282512</v>
      </c>
      <c r="Z199" s="14">
        <f t="shared" si="23"/>
        <v>90.381165919282509</v>
      </c>
    </row>
    <row r="200" spans="2:26" ht="16" x14ac:dyDescent="0.2">
      <c r="B200" t="s">
        <v>60</v>
      </c>
      <c r="M200" s="9">
        <v>130.66999999999999</v>
      </c>
      <c r="N200" s="9">
        <v>1.2678</v>
      </c>
      <c r="O200" s="9">
        <v>2.0752000000000002</v>
      </c>
      <c r="P200" s="9">
        <v>3.0931999999999999</v>
      </c>
      <c r="R200" s="14">
        <f t="shared" si="20"/>
        <v>0.24980000000000002</v>
      </c>
      <c r="S200" s="14">
        <f t="shared" si="21"/>
        <v>12.037393986121819</v>
      </c>
      <c r="U200" s="14">
        <f t="shared" si="22"/>
        <v>10.855339631705364</v>
      </c>
      <c r="V200" s="14">
        <f t="shared" si="24"/>
        <v>119.81466036829462</v>
      </c>
      <c r="Z200" s="14">
        <f t="shared" si="23"/>
        <v>91.69255404323458</v>
      </c>
    </row>
    <row r="201" spans="2:26" ht="16" x14ac:dyDescent="0.2">
      <c r="B201" t="s">
        <v>61</v>
      </c>
      <c r="M201">
        <v>144.65</v>
      </c>
      <c r="N201" s="10">
        <v>1.2655000000000001</v>
      </c>
      <c r="O201" s="10">
        <v>2.0171999999999999</v>
      </c>
      <c r="P201" s="10">
        <v>3.0510999999999999</v>
      </c>
      <c r="R201" s="14">
        <f t="shared" si="20"/>
        <v>0.23160000000000025</v>
      </c>
      <c r="S201" s="14">
        <f t="shared" si="21"/>
        <v>11.48126115407497</v>
      </c>
      <c r="U201" s="14">
        <f t="shared" si="22"/>
        <v>12.598790155440399</v>
      </c>
      <c r="V201" s="14">
        <f t="shared" si="24"/>
        <v>132.05120984455959</v>
      </c>
      <c r="Z201" s="14">
        <f t="shared" si="23"/>
        <v>91.290155440414509</v>
      </c>
    </row>
    <row r="202" spans="2:26" ht="16" x14ac:dyDescent="0.2">
      <c r="B202" t="s">
        <v>62</v>
      </c>
      <c r="M202" s="11">
        <v>130.26</v>
      </c>
      <c r="N202" s="9">
        <v>1.2635000000000001</v>
      </c>
      <c r="O202" s="9">
        <v>2.2218</v>
      </c>
      <c r="P202" s="9">
        <v>3.2170999999999998</v>
      </c>
      <c r="R202" s="14">
        <f t="shared" si="20"/>
        <v>0.26820000000000022</v>
      </c>
      <c r="S202" s="14">
        <f t="shared" si="21"/>
        <v>12.071293545773706</v>
      </c>
      <c r="U202" s="14">
        <f t="shared" si="22"/>
        <v>10.790889932885896</v>
      </c>
      <c r="V202" s="14">
        <f t="shared" si="24"/>
        <v>119.46911006711409</v>
      </c>
      <c r="Z202" s="14">
        <f t="shared" si="23"/>
        <v>91.715883668903814</v>
      </c>
    </row>
  </sheetData>
  <autoFilter ref="A10:L10" xr:uid="{77D89E93-E19F-7740-8FD4-72E4CA9785C0}"/>
  <phoneticPr fontId="3" type="noConversion"/>
  <pageMargins left="0.5" right="0.5" top="0.5" bottom="0.5" header="0.3" footer="0.3"/>
  <pageSetup orientation="portrait" horizontalDpi="0" verticalDpi="0"/>
  <headerFooter>
    <oddHeader>&amp;RA. Guzman
K. Finstad</oddHead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3965-2F5D-8F46-99DD-1D02E8A58FB1}">
  <dimension ref="A1:G4"/>
  <sheetViews>
    <sheetView zoomScale="200" workbookViewId="0">
      <selection activeCell="G6" sqref="G6"/>
    </sheetView>
  </sheetViews>
  <sheetFormatPr baseColWidth="10" defaultColWidth="11" defaultRowHeight="16" x14ac:dyDescent="0.2"/>
  <cols>
    <col min="2" max="2" width="12.83203125" bestFit="1" customWidth="1"/>
    <col min="5" max="5" width="12" bestFit="1" customWidth="1"/>
    <col min="6" max="6" width="13.5" bestFit="1" customWidth="1"/>
  </cols>
  <sheetData>
    <row r="1" spans="1:7" x14ac:dyDescent="0.2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 x14ac:dyDescent="0.2">
      <c r="A2">
        <v>5</v>
      </c>
      <c r="B2">
        <v>3</v>
      </c>
      <c r="C2">
        <v>3</v>
      </c>
      <c r="D2">
        <v>5</v>
      </c>
      <c r="E2">
        <f>A2*B2*C2*D2</f>
        <v>225</v>
      </c>
      <c r="F2">
        <f>A2*B2*C2</f>
        <v>45</v>
      </c>
      <c r="G2">
        <f>5*B2*C2</f>
        <v>45</v>
      </c>
    </row>
    <row r="3" spans="1:7" x14ac:dyDescent="0.2">
      <c r="A3">
        <v>5</v>
      </c>
      <c r="B3">
        <v>2</v>
      </c>
      <c r="C3">
        <v>1</v>
      </c>
      <c r="D3">
        <v>5</v>
      </c>
      <c r="E3">
        <f>A3*B3*C3*D3</f>
        <v>50</v>
      </c>
      <c r="F3">
        <f>A3*B3*C3</f>
        <v>10</v>
      </c>
      <c r="G3">
        <f>5*B3*C3</f>
        <v>10</v>
      </c>
    </row>
    <row r="4" spans="1:7" x14ac:dyDescent="0.2">
      <c r="E4">
        <f>SUM(E2:E3)</f>
        <v>275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EDCEFB86248419089A503647A8BA4" ma:contentTypeVersion="4" ma:contentTypeDescription="Create a new document." ma:contentTypeScope="" ma:versionID="4f525ffa2ffd4ad5d77382cc0b2d4721">
  <xsd:schema xmlns:xsd="http://www.w3.org/2001/XMLSchema" xmlns:xs="http://www.w3.org/2001/XMLSchema" xmlns:p="http://schemas.microsoft.com/office/2006/metadata/properties" xmlns:ns2="ec3d5568-e1f4-4497-bc9f-65552693db71" targetNamespace="http://schemas.microsoft.com/office/2006/metadata/properties" ma:root="true" ma:fieldsID="3b74d47f0278bb0410329d408b9dd60e" ns2:_="">
    <xsd:import namespace="ec3d5568-e1f4-4497-bc9f-65552693d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d5568-e1f4-4497-bc9f-65552693d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78025E-0A82-4C60-B03E-C81B9D47D07D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ec3d5568-e1f4-4497-bc9f-65552693db71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26E72DB-FED9-4088-AE9C-71C45CD25C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d5568-e1f4-4497-bc9f-65552693d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75C3C1-21A7-4883-BFA8-29587FD7F6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Guzman, Aidee</dc:creator>
  <cp:keywords/>
  <dc:description/>
  <cp:lastModifiedBy>Aidee Guzman</cp:lastModifiedBy>
  <cp:revision/>
  <dcterms:created xsi:type="dcterms:W3CDTF">2024-06-18T15:57:45Z</dcterms:created>
  <dcterms:modified xsi:type="dcterms:W3CDTF">2025-01-05T02:01:15Z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0x010100B63EDCEFB86248419089A503647A8BA4</vt:lpwstr>
  </property>
</Properties>
</file>