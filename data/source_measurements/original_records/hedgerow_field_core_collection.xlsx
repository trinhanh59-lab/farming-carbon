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core collection/"/>
    </mc:Choice>
  </mc:AlternateContent>
  <xr:revisionPtr revIDLastSave="150" documentId="8_{72C28A88-DB62-6D41-A6BE-001D86CF624C}" xr6:coauthVersionLast="47" xr6:coauthVersionMax="47" xr10:uidLastSave="{A3C46F5E-23EB-9B47-B666-4176B8188257}"/>
  <bookViews>
    <workbookView xWindow="0" yWindow="860" windowWidth="17100" windowHeight="20560" xr2:uid="{4C25500E-06E0-9543-A18A-49244F472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I21" i="1"/>
  <c r="J21" i="1"/>
  <c r="K21" i="1"/>
  <c r="L21" i="1"/>
  <c r="M21" i="1"/>
  <c r="N21" i="1"/>
  <c r="O21" i="1"/>
  <c r="P21" i="1"/>
  <c r="Q21" i="1"/>
  <c r="G3" i="1" l="1"/>
  <c r="H3" i="1" s="1"/>
  <c r="G4" i="1"/>
  <c r="P4" i="1" s="1"/>
  <c r="G5" i="1"/>
  <c r="M5" i="1" s="1"/>
  <c r="G6" i="1"/>
  <c r="I6" i="1" s="1"/>
  <c r="G7" i="1"/>
  <c r="I7" i="1" s="1"/>
  <c r="G8" i="1"/>
  <c r="N8" i="1" s="1"/>
  <c r="K8" i="1"/>
  <c r="M8" i="1"/>
  <c r="Q8" i="1"/>
  <c r="G9" i="1"/>
  <c r="K9" i="1" s="1"/>
  <c r="H9" i="1"/>
  <c r="G10" i="1"/>
  <c r="H10" i="1" s="1"/>
  <c r="G11" i="1"/>
  <c r="O11" i="1" s="1"/>
  <c r="G12" i="1"/>
  <c r="L12" i="1" s="1"/>
  <c r="H12" i="1"/>
  <c r="I12" i="1"/>
  <c r="G13" i="1"/>
  <c r="H13" i="1" s="1"/>
  <c r="G14" i="1"/>
  <c r="P14" i="1" s="1"/>
  <c r="G15" i="1"/>
  <c r="M15" i="1" s="1"/>
  <c r="H15" i="1"/>
  <c r="I15" i="1"/>
  <c r="J15" i="1"/>
  <c r="G16" i="1"/>
  <c r="I16" i="1" s="1"/>
  <c r="H16" i="1"/>
  <c r="G17" i="1"/>
  <c r="H17" i="1" s="1"/>
  <c r="G18" i="1"/>
  <c r="N18" i="1" s="1"/>
  <c r="G20" i="1"/>
  <c r="H20" i="1" s="1"/>
  <c r="O20" i="1"/>
  <c r="G22" i="1"/>
  <c r="L22" i="1" s="1"/>
  <c r="H22" i="1"/>
  <c r="I14" i="1" l="1"/>
  <c r="K14" i="1"/>
  <c r="Q17" i="1"/>
  <c r="H11" i="1"/>
  <c r="Q7" i="1"/>
  <c r="R6" i="1"/>
  <c r="P7" i="1"/>
  <c r="Q6" i="1"/>
  <c r="L8" i="1"/>
  <c r="M7" i="1"/>
  <c r="O4" i="1"/>
  <c r="N15" i="1"/>
  <c r="N14" i="1"/>
  <c r="O12" i="1"/>
  <c r="M11" i="1"/>
  <c r="J8" i="1"/>
  <c r="K7" i="1"/>
  <c r="Q3" i="1"/>
  <c r="O17" i="1"/>
  <c r="Q15" i="1"/>
  <c r="P10" i="1"/>
  <c r="N7" i="1"/>
  <c r="J17" i="1"/>
  <c r="O15" i="1"/>
  <c r="N11" i="1"/>
  <c r="M14" i="1"/>
  <c r="L11" i="1"/>
  <c r="J9" i="1"/>
  <c r="J7" i="1"/>
  <c r="P3" i="1"/>
  <c r="J11" i="1"/>
  <c r="R7" i="1"/>
  <c r="P17" i="1"/>
  <c r="Q10" i="1"/>
  <c r="O7" i="1"/>
  <c r="N17" i="1"/>
  <c r="Q11" i="1"/>
  <c r="P15" i="1"/>
  <c r="Q14" i="1"/>
  <c r="P11" i="1"/>
  <c r="I17" i="1"/>
  <c r="O14" i="1"/>
  <c r="Q12" i="1"/>
  <c r="L7" i="1"/>
  <c r="L15" i="1"/>
  <c r="K12" i="1"/>
  <c r="Q16" i="1"/>
  <c r="K15" i="1"/>
  <c r="L14" i="1"/>
  <c r="J12" i="1"/>
  <c r="K11" i="1"/>
  <c r="I9" i="1"/>
  <c r="S7" i="1"/>
  <c r="H7" i="1"/>
  <c r="Q4" i="1"/>
  <c r="L18" i="1"/>
  <c r="O18" i="1"/>
  <c r="S5" i="1"/>
  <c r="M18" i="1"/>
  <c r="R5" i="1"/>
  <c r="M22" i="1"/>
  <c r="Q5" i="1"/>
  <c r="K22" i="1"/>
  <c r="K18" i="1"/>
  <c r="M17" i="1"/>
  <c r="P5" i="1"/>
  <c r="N4" i="1"/>
  <c r="J22" i="1"/>
  <c r="J18" i="1"/>
  <c r="L17" i="1"/>
  <c r="N5" i="1"/>
  <c r="M4" i="1"/>
  <c r="I22" i="1"/>
  <c r="I18" i="1"/>
  <c r="K17" i="1"/>
  <c r="Q13" i="1"/>
  <c r="L5" i="1"/>
  <c r="L4" i="1"/>
  <c r="K5" i="1"/>
  <c r="J5" i="1"/>
  <c r="Q20" i="1"/>
  <c r="O10" i="1"/>
  <c r="O8" i="1"/>
  <c r="H6" i="1"/>
  <c r="I5" i="1"/>
  <c r="P20" i="1"/>
  <c r="Q18" i="1"/>
  <c r="H5" i="1"/>
  <c r="N20" i="1"/>
  <c r="O13" i="1"/>
  <c r="Q9" i="1"/>
  <c r="O3" i="1"/>
  <c r="M20" i="1"/>
  <c r="O16" i="1"/>
  <c r="N13" i="1"/>
  <c r="M10" i="1"/>
  <c r="P9" i="1"/>
  <c r="I8" i="1"/>
  <c r="O6" i="1"/>
  <c r="K4" i="1"/>
  <c r="N3" i="1"/>
  <c r="L20" i="1"/>
  <c r="H18" i="1"/>
  <c r="N16" i="1"/>
  <c r="J14" i="1"/>
  <c r="M13" i="1"/>
  <c r="P12" i="1"/>
  <c r="I11" i="1"/>
  <c r="L10" i="1"/>
  <c r="O9" i="1"/>
  <c r="H8" i="1"/>
  <c r="N6" i="1"/>
  <c r="J4" i="1"/>
  <c r="M3" i="1"/>
  <c r="P16" i="1"/>
  <c r="N10" i="1"/>
  <c r="P6" i="1"/>
  <c r="K20" i="1"/>
  <c r="M16" i="1"/>
  <c r="L13" i="1"/>
  <c r="K10" i="1"/>
  <c r="N9" i="1"/>
  <c r="M6" i="1"/>
  <c r="I4" i="1"/>
  <c r="L3" i="1"/>
  <c r="J20" i="1"/>
  <c r="P18" i="1"/>
  <c r="L16" i="1"/>
  <c r="H14" i="1"/>
  <c r="K13" i="1"/>
  <c r="N12" i="1"/>
  <c r="J10" i="1"/>
  <c r="M9" i="1"/>
  <c r="P8" i="1"/>
  <c r="L6" i="1"/>
  <c r="O5" i="1"/>
  <c r="H4" i="1"/>
  <c r="K3" i="1"/>
  <c r="P13" i="1"/>
  <c r="J3" i="1"/>
  <c r="I20" i="1"/>
  <c r="K16" i="1"/>
  <c r="J13" i="1"/>
  <c r="M12" i="1"/>
  <c r="I10" i="1"/>
  <c r="L9" i="1"/>
  <c r="K6" i="1"/>
  <c r="J16" i="1"/>
  <c r="I13" i="1"/>
  <c r="J6" i="1"/>
  <c r="S3" i="1"/>
  <c r="I3" i="1"/>
  <c r="S6" i="1"/>
  <c r="R3" i="1"/>
</calcChain>
</file>

<file path=xl/sharedStrings.xml><?xml version="1.0" encoding="utf-8"?>
<sst xmlns="http://schemas.openxmlformats.org/spreadsheetml/2006/main" count="25" uniqueCount="17">
  <si>
    <t>transect</t>
  </si>
  <si>
    <t>site_name</t>
  </si>
  <si>
    <t>hole_cm</t>
  </si>
  <si>
    <t>core_cm</t>
  </si>
  <si>
    <t>date</t>
  </si>
  <si>
    <t>notes</t>
  </si>
  <si>
    <t>core_id</t>
  </si>
  <si>
    <t>core that says "14 cont'd" has hole cm: 85. core cm: 52</t>
  </si>
  <si>
    <t>no data written for hole cm/ core cm</t>
  </si>
  <si>
    <t>adjustment</t>
  </si>
  <si>
    <t>last depth</t>
  </si>
  <si>
    <t>6 - extra increment</t>
  </si>
  <si>
    <t xml:space="preserve">  </t>
  </si>
  <si>
    <t>JOMA1</t>
  </si>
  <si>
    <t>HRDY1</t>
  </si>
  <si>
    <t>HRDY2</t>
  </si>
  <si>
    <t>HRDY3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</si>
</sst>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0" fillId="6" borderId="8" xfId="0" applyNumberForma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0E6D-9765-6248-94C3-B901E70CB618}">
  <sheetPr>
    <pageSetUpPr fitToPage="1"/>
  </sheetPr>
  <dimension ref="A1:T23"/>
  <sheetViews>
    <sheetView tabSelected="1" view="pageLayout" zoomScale="85" zoomScaleNormal="100" zoomScalePageLayoutView="85" workbookViewId="0">
      <selection activeCell="D13" sqref="D13"/>
    </sheetView>
  </sheetViews>
  <sheetFormatPr baseColWidth="10" defaultRowHeight="16" x14ac:dyDescent="0.2"/>
  <cols>
    <col min="1" max="1" width="7.1640625" bestFit="1" customWidth="1"/>
    <col min="2" max="2" width="15.33203125" hidden="1" customWidth="1"/>
    <col min="3" max="3" width="9.83203125" bestFit="1" customWidth="1"/>
    <col min="4" max="4" width="8.1640625" bestFit="1" customWidth="1"/>
    <col min="20" max="20" width="43" customWidth="1"/>
  </cols>
  <sheetData>
    <row r="1" spans="1:20" x14ac:dyDescent="0.2">
      <c r="H1" s="19">
        <v>1</v>
      </c>
      <c r="I1" s="20"/>
      <c r="J1" s="21">
        <v>2</v>
      </c>
      <c r="K1" s="22"/>
      <c r="L1" s="23">
        <v>3</v>
      </c>
      <c r="M1" s="24"/>
      <c r="N1" s="21">
        <v>4</v>
      </c>
      <c r="O1" s="22"/>
      <c r="P1" s="23">
        <v>5</v>
      </c>
      <c r="Q1" s="24"/>
      <c r="R1" s="17" t="s">
        <v>11</v>
      </c>
      <c r="S1" s="18"/>
    </row>
    <row r="2" spans="1:20" s="4" customFormat="1" x14ac:dyDescent="0.2">
      <c r="A2" s="3" t="s">
        <v>6</v>
      </c>
      <c r="B2" s="3" t="s">
        <v>4</v>
      </c>
      <c r="C2" s="3" t="s">
        <v>1</v>
      </c>
      <c r="D2" s="3" t="s">
        <v>0</v>
      </c>
      <c r="E2" s="3" t="s">
        <v>2</v>
      </c>
      <c r="F2" s="3" t="s">
        <v>3</v>
      </c>
      <c r="G2" s="5" t="s">
        <v>9</v>
      </c>
      <c r="H2" s="8">
        <v>0</v>
      </c>
      <c r="I2" s="14">
        <v>10</v>
      </c>
      <c r="J2" s="10">
        <v>10</v>
      </c>
      <c r="K2" s="14">
        <v>20</v>
      </c>
      <c r="L2" s="8">
        <v>20</v>
      </c>
      <c r="M2" s="14">
        <v>50</v>
      </c>
      <c r="N2" s="10">
        <v>50</v>
      </c>
      <c r="O2" s="14">
        <v>75</v>
      </c>
      <c r="P2" s="8">
        <v>75</v>
      </c>
      <c r="Q2" s="9">
        <v>100</v>
      </c>
      <c r="R2" s="8">
        <v>100</v>
      </c>
      <c r="S2" s="14" t="s">
        <v>10</v>
      </c>
      <c r="T2" s="3" t="s">
        <v>5</v>
      </c>
    </row>
    <row r="3" spans="1:20" x14ac:dyDescent="0.2">
      <c r="A3" s="1">
        <v>1</v>
      </c>
      <c r="B3" s="1"/>
      <c r="D3" s="1"/>
      <c r="E3" s="1">
        <v>110</v>
      </c>
      <c r="F3" s="1">
        <v>98</v>
      </c>
      <c r="G3" s="6">
        <f t="shared" ref="G3:G18" si="0">F3/E3</f>
        <v>0.89090909090909087</v>
      </c>
      <c r="H3" s="11">
        <f t="shared" ref="H3:R12" si="1">H$2*$G3</f>
        <v>0</v>
      </c>
      <c r="I3" s="15">
        <f t="shared" si="1"/>
        <v>8.9090909090909083</v>
      </c>
      <c r="J3" s="11">
        <f t="shared" si="1"/>
        <v>8.9090909090909083</v>
      </c>
      <c r="K3" s="15">
        <f t="shared" si="1"/>
        <v>17.818181818181817</v>
      </c>
      <c r="L3" s="11">
        <f t="shared" si="1"/>
        <v>17.818181818181817</v>
      </c>
      <c r="M3" s="15">
        <f t="shared" si="1"/>
        <v>44.545454545454547</v>
      </c>
      <c r="N3" s="11">
        <f t="shared" si="1"/>
        <v>44.545454545454547</v>
      </c>
      <c r="O3" s="15">
        <f t="shared" si="1"/>
        <v>66.818181818181813</v>
      </c>
      <c r="P3" s="11">
        <f t="shared" si="1"/>
        <v>66.818181818181813</v>
      </c>
      <c r="Q3" s="15">
        <f t="shared" si="1"/>
        <v>89.090909090909093</v>
      </c>
      <c r="R3" s="11">
        <f t="shared" si="1"/>
        <v>89.090909090909093</v>
      </c>
      <c r="S3" s="15">
        <f t="shared" ref="S3:S18" si="2">E3*$G3</f>
        <v>98</v>
      </c>
      <c r="T3" s="1"/>
    </row>
    <row r="4" spans="1:20" x14ac:dyDescent="0.2">
      <c r="A4" s="2">
        <v>2</v>
      </c>
      <c r="B4" s="2"/>
      <c r="C4" s="1" t="s">
        <v>14</v>
      </c>
      <c r="D4" s="2">
        <v>1</v>
      </c>
      <c r="E4" s="2">
        <v>100</v>
      </c>
      <c r="F4" s="2">
        <v>99</v>
      </c>
      <c r="G4" s="7">
        <f t="shared" si="0"/>
        <v>0.99</v>
      </c>
      <c r="H4" s="12">
        <f t="shared" si="1"/>
        <v>0</v>
      </c>
      <c r="I4" s="15">
        <f t="shared" si="1"/>
        <v>9.9</v>
      </c>
      <c r="J4" s="12">
        <f t="shared" si="1"/>
        <v>9.9</v>
      </c>
      <c r="K4" s="15">
        <f t="shared" si="1"/>
        <v>19.8</v>
      </c>
      <c r="L4" s="12">
        <f t="shared" si="1"/>
        <v>19.8</v>
      </c>
      <c r="M4" s="15">
        <f t="shared" si="1"/>
        <v>49.5</v>
      </c>
      <c r="N4" s="12">
        <f t="shared" si="1"/>
        <v>49.5</v>
      </c>
      <c r="O4" s="15">
        <f t="shared" si="1"/>
        <v>74.25</v>
      </c>
      <c r="P4" s="12">
        <f t="shared" si="1"/>
        <v>74.25</v>
      </c>
      <c r="Q4" s="15">
        <f t="shared" si="1"/>
        <v>99</v>
      </c>
      <c r="R4" s="12"/>
      <c r="S4" s="15"/>
      <c r="T4" s="2"/>
    </row>
    <row r="5" spans="1:20" x14ac:dyDescent="0.2">
      <c r="A5" s="1">
        <v>3</v>
      </c>
      <c r="B5" s="1"/>
      <c r="C5" s="1" t="s">
        <v>14</v>
      </c>
      <c r="D5" s="1">
        <v>2</v>
      </c>
      <c r="E5" s="1">
        <v>105</v>
      </c>
      <c r="F5" s="1">
        <v>100</v>
      </c>
      <c r="G5" s="6">
        <f t="shared" si="0"/>
        <v>0.95238095238095233</v>
      </c>
      <c r="H5" s="11">
        <f t="shared" si="1"/>
        <v>0</v>
      </c>
      <c r="I5" s="15">
        <f t="shared" si="1"/>
        <v>9.5238095238095237</v>
      </c>
      <c r="J5" s="11">
        <f t="shared" si="1"/>
        <v>9.5238095238095237</v>
      </c>
      <c r="K5" s="15">
        <f t="shared" si="1"/>
        <v>19.047619047619047</v>
      </c>
      <c r="L5" s="11">
        <f t="shared" si="1"/>
        <v>19.047619047619047</v>
      </c>
      <c r="M5" s="15">
        <f t="shared" si="1"/>
        <v>47.619047619047613</v>
      </c>
      <c r="N5" s="11">
        <f t="shared" si="1"/>
        <v>47.619047619047613</v>
      </c>
      <c r="O5" s="15">
        <f t="shared" si="1"/>
        <v>71.428571428571431</v>
      </c>
      <c r="P5" s="11">
        <f t="shared" si="1"/>
        <v>71.428571428571431</v>
      </c>
      <c r="Q5" s="15">
        <f t="shared" si="1"/>
        <v>95.238095238095227</v>
      </c>
      <c r="R5" s="11">
        <f t="shared" si="1"/>
        <v>95.238095238095227</v>
      </c>
      <c r="S5" s="15">
        <f t="shared" si="2"/>
        <v>100</v>
      </c>
      <c r="T5" s="1"/>
    </row>
    <row r="6" spans="1:20" x14ac:dyDescent="0.2">
      <c r="A6" s="2">
        <v>4</v>
      </c>
      <c r="B6" s="2"/>
      <c r="C6" s="1" t="s">
        <v>14</v>
      </c>
      <c r="D6" s="2">
        <v>3</v>
      </c>
      <c r="E6" s="2">
        <v>105</v>
      </c>
      <c r="F6" s="2">
        <v>95</v>
      </c>
      <c r="G6" s="7">
        <f t="shared" si="0"/>
        <v>0.90476190476190477</v>
      </c>
      <c r="H6" s="12">
        <f t="shared" si="1"/>
        <v>0</v>
      </c>
      <c r="I6" s="15">
        <f t="shared" si="1"/>
        <v>9.0476190476190474</v>
      </c>
      <c r="J6" s="12">
        <f t="shared" si="1"/>
        <v>9.0476190476190474</v>
      </c>
      <c r="K6" s="15">
        <f t="shared" si="1"/>
        <v>18.095238095238095</v>
      </c>
      <c r="L6" s="12">
        <f t="shared" si="1"/>
        <v>18.095238095238095</v>
      </c>
      <c r="M6" s="15">
        <f t="shared" si="1"/>
        <v>45.238095238095241</v>
      </c>
      <c r="N6" s="12">
        <f t="shared" si="1"/>
        <v>45.238095238095241</v>
      </c>
      <c r="O6" s="15">
        <f t="shared" si="1"/>
        <v>67.857142857142861</v>
      </c>
      <c r="P6" s="12">
        <f t="shared" si="1"/>
        <v>67.857142857142861</v>
      </c>
      <c r="Q6" s="15">
        <f t="shared" si="1"/>
        <v>90.476190476190482</v>
      </c>
      <c r="R6" s="12">
        <f t="shared" si="1"/>
        <v>90.476190476190482</v>
      </c>
      <c r="S6" s="15">
        <f t="shared" si="2"/>
        <v>95</v>
      </c>
      <c r="T6" s="2"/>
    </row>
    <row r="7" spans="1:20" x14ac:dyDescent="0.2">
      <c r="A7" s="1">
        <v>5</v>
      </c>
      <c r="B7" s="1"/>
      <c r="C7" s="1" t="s">
        <v>15</v>
      </c>
      <c r="D7" s="1">
        <v>3</v>
      </c>
      <c r="E7" s="1">
        <v>105</v>
      </c>
      <c r="F7" s="1">
        <v>91</v>
      </c>
      <c r="G7" s="6">
        <f t="shared" si="0"/>
        <v>0.8666666666666667</v>
      </c>
      <c r="H7" s="11">
        <f t="shared" si="1"/>
        <v>0</v>
      </c>
      <c r="I7" s="15">
        <f t="shared" si="1"/>
        <v>8.6666666666666679</v>
      </c>
      <c r="J7" s="11">
        <f t="shared" si="1"/>
        <v>8.6666666666666679</v>
      </c>
      <c r="K7" s="15">
        <f t="shared" si="1"/>
        <v>17.333333333333336</v>
      </c>
      <c r="L7" s="11">
        <f t="shared" si="1"/>
        <v>17.333333333333336</v>
      </c>
      <c r="M7" s="15">
        <f t="shared" si="1"/>
        <v>43.333333333333336</v>
      </c>
      <c r="N7" s="11">
        <f t="shared" si="1"/>
        <v>43.333333333333336</v>
      </c>
      <c r="O7" s="15">
        <f t="shared" si="1"/>
        <v>65</v>
      </c>
      <c r="P7" s="11">
        <f t="shared" si="1"/>
        <v>65</v>
      </c>
      <c r="Q7" s="15">
        <f t="shared" si="1"/>
        <v>86.666666666666671</v>
      </c>
      <c r="R7" s="11">
        <f t="shared" si="1"/>
        <v>86.666666666666671</v>
      </c>
      <c r="S7" s="15">
        <f t="shared" si="2"/>
        <v>91</v>
      </c>
      <c r="T7" s="1"/>
    </row>
    <row r="8" spans="1:20" x14ac:dyDescent="0.2">
      <c r="A8" s="2">
        <v>6</v>
      </c>
      <c r="B8" s="2"/>
      <c r="C8" s="1" t="s">
        <v>15</v>
      </c>
      <c r="D8" s="2">
        <v>2</v>
      </c>
      <c r="E8" s="2">
        <v>88</v>
      </c>
      <c r="F8" s="2">
        <v>85</v>
      </c>
      <c r="G8" s="7">
        <f t="shared" si="0"/>
        <v>0.96590909090909094</v>
      </c>
      <c r="H8" s="12">
        <f t="shared" si="1"/>
        <v>0</v>
      </c>
      <c r="I8" s="15">
        <f t="shared" si="1"/>
        <v>9.6590909090909101</v>
      </c>
      <c r="J8" s="12">
        <f t="shared" si="1"/>
        <v>9.6590909090909101</v>
      </c>
      <c r="K8" s="15">
        <f t="shared" si="1"/>
        <v>19.31818181818182</v>
      </c>
      <c r="L8" s="12">
        <f t="shared" si="1"/>
        <v>19.31818181818182</v>
      </c>
      <c r="M8" s="15">
        <f t="shared" si="1"/>
        <v>48.295454545454547</v>
      </c>
      <c r="N8" s="12">
        <f t="shared" si="1"/>
        <v>48.295454545454547</v>
      </c>
      <c r="O8" s="15">
        <f t="shared" si="1"/>
        <v>72.443181818181827</v>
      </c>
      <c r="P8" s="12">
        <f t="shared" si="1"/>
        <v>72.443181818181827</v>
      </c>
      <c r="Q8" s="15">
        <f t="shared" si="1"/>
        <v>96.590909090909093</v>
      </c>
      <c r="R8" s="12"/>
      <c r="S8" s="15"/>
      <c r="T8" s="2"/>
    </row>
    <row r="9" spans="1:20" x14ac:dyDescent="0.2">
      <c r="A9" s="1">
        <v>7</v>
      </c>
      <c r="B9" s="1"/>
      <c r="C9" s="1" t="s">
        <v>15</v>
      </c>
      <c r="D9" s="1">
        <v>1</v>
      </c>
      <c r="E9" s="1">
        <v>86</v>
      </c>
      <c r="F9" s="1">
        <v>79</v>
      </c>
      <c r="G9" s="6">
        <f t="shared" si="0"/>
        <v>0.91860465116279066</v>
      </c>
      <c r="H9" s="11">
        <f t="shared" si="1"/>
        <v>0</v>
      </c>
      <c r="I9" s="15">
        <f t="shared" si="1"/>
        <v>9.1860465116279073</v>
      </c>
      <c r="J9" s="11">
        <f t="shared" si="1"/>
        <v>9.1860465116279073</v>
      </c>
      <c r="K9" s="15">
        <f t="shared" si="1"/>
        <v>18.372093023255815</v>
      </c>
      <c r="L9" s="11">
        <f t="shared" si="1"/>
        <v>18.372093023255815</v>
      </c>
      <c r="M9" s="15">
        <f t="shared" si="1"/>
        <v>45.930232558139537</v>
      </c>
      <c r="N9" s="11">
        <f t="shared" si="1"/>
        <v>45.930232558139537</v>
      </c>
      <c r="O9" s="15">
        <f t="shared" si="1"/>
        <v>68.895348837209298</v>
      </c>
      <c r="P9" s="11">
        <f t="shared" si="1"/>
        <v>68.895348837209298</v>
      </c>
      <c r="Q9" s="15">
        <f t="shared" si="1"/>
        <v>91.860465116279073</v>
      </c>
      <c r="R9" s="11"/>
      <c r="S9" s="15"/>
      <c r="T9" s="1"/>
    </row>
    <row r="10" spans="1:20" x14ac:dyDescent="0.2">
      <c r="A10" s="2">
        <v>8</v>
      </c>
      <c r="B10" s="2"/>
      <c r="C10" s="1" t="s">
        <v>16</v>
      </c>
      <c r="D10" s="2">
        <v>1</v>
      </c>
      <c r="E10" s="2">
        <v>100</v>
      </c>
      <c r="F10" s="2">
        <v>86</v>
      </c>
      <c r="G10" s="7">
        <f t="shared" si="0"/>
        <v>0.86</v>
      </c>
      <c r="H10" s="12">
        <f t="shared" si="1"/>
        <v>0</v>
      </c>
      <c r="I10" s="15">
        <f t="shared" si="1"/>
        <v>8.6</v>
      </c>
      <c r="J10" s="12">
        <f t="shared" si="1"/>
        <v>8.6</v>
      </c>
      <c r="K10" s="15">
        <f t="shared" si="1"/>
        <v>17.2</v>
      </c>
      <c r="L10" s="12">
        <f t="shared" si="1"/>
        <v>17.2</v>
      </c>
      <c r="M10" s="15">
        <f t="shared" si="1"/>
        <v>43</v>
      </c>
      <c r="N10" s="12">
        <f t="shared" si="1"/>
        <v>43</v>
      </c>
      <c r="O10" s="15">
        <f t="shared" si="1"/>
        <v>64.5</v>
      </c>
      <c r="P10" s="12">
        <f t="shared" si="1"/>
        <v>64.5</v>
      </c>
      <c r="Q10" s="15">
        <f t="shared" si="1"/>
        <v>86</v>
      </c>
      <c r="R10" s="12"/>
      <c r="S10" s="15"/>
      <c r="T10" s="2"/>
    </row>
    <row r="11" spans="1:20" x14ac:dyDescent="0.2">
      <c r="A11" s="1">
        <v>9</v>
      </c>
      <c r="B11" s="1"/>
      <c r="C11" s="1" t="s">
        <v>16</v>
      </c>
      <c r="D11" s="1">
        <v>2</v>
      </c>
      <c r="E11" s="1">
        <v>100</v>
      </c>
      <c r="F11" s="1">
        <v>112</v>
      </c>
      <c r="G11" s="6">
        <f t="shared" si="0"/>
        <v>1.1200000000000001</v>
      </c>
      <c r="H11" s="11">
        <f t="shared" si="1"/>
        <v>0</v>
      </c>
      <c r="I11" s="15">
        <f t="shared" si="1"/>
        <v>11.200000000000001</v>
      </c>
      <c r="J11" s="11">
        <f t="shared" si="1"/>
        <v>11.200000000000001</v>
      </c>
      <c r="K11" s="15">
        <f t="shared" si="1"/>
        <v>22.400000000000002</v>
      </c>
      <c r="L11" s="11">
        <f t="shared" si="1"/>
        <v>22.400000000000002</v>
      </c>
      <c r="M11" s="15">
        <f t="shared" si="1"/>
        <v>56.000000000000007</v>
      </c>
      <c r="N11" s="11">
        <f t="shared" si="1"/>
        <v>56.000000000000007</v>
      </c>
      <c r="O11" s="15">
        <f t="shared" si="1"/>
        <v>84.000000000000014</v>
      </c>
      <c r="P11" s="11">
        <f t="shared" si="1"/>
        <v>84.000000000000014</v>
      </c>
      <c r="Q11" s="15">
        <f t="shared" si="1"/>
        <v>112.00000000000001</v>
      </c>
      <c r="R11" s="11"/>
      <c r="S11" s="15"/>
      <c r="T11" s="1"/>
    </row>
    <row r="12" spans="1:20" x14ac:dyDescent="0.2">
      <c r="A12" s="2">
        <v>10</v>
      </c>
      <c r="B12" s="2"/>
      <c r="C12" s="1" t="s">
        <v>16</v>
      </c>
      <c r="D12" s="2">
        <v>3</v>
      </c>
      <c r="E12" s="2">
        <v>100</v>
      </c>
      <c r="F12" s="2">
        <v>110</v>
      </c>
      <c r="G12" s="7">
        <f t="shared" si="0"/>
        <v>1.1000000000000001</v>
      </c>
      <c r="H12" s="12">
        <f t="shared" si="1"/>
        <v>0</v>
      </c>
      <c r="I12" s="15">
        <f t="shared" si="1"/>
        <v>11</v>
      </c>
      <c r="J12" s="12">
        <f t="shared" si="1"/>
        <v>11</v>
      </c>
      <c r="K12" s="15">
        <f t="shared" si="1"/>
        <v>22</v>
      </c>
      <c r="L12" s="12">
        <f t="shared" si="1"/>
        <v>22</v>
      </c>
      <c r="M12" s="15">
        <f t="shared" si="1"/>
        <v>55.000000000000007</v>
      </c>
      <c r="N12" s="12">
        <f t="shared" si="1"/>
        <v>55.000000000000007</v>
      </c>
      <c r="O12" s="15">
        <f t="shared" si="1"/>
        <v>82.5</v>
      </c>
      <c r="P12" s="12">
        <f t="shared" si="1"/>
        <v>82.5</v>
      </c>
      <c r="Q12" s="15">
        <f t="shared" si="1"/>
        <v>110.00000000000001</v>
      </c>
      <c r="R12" s="12"/>
      <c r="S12" s="15"/>
      <c r="T12" s="2"/>
    </row>
    <row r="13" spans="1:20" x14ac:dyDescent="0.2">
      <c r="A13" s="1">
        <v>11</v>
      </c>
      <c r="B13" s="1"/>
      <c r="C13" s="2" t="s">
        <v>13</v>
      </c>
      <c r="D13" s="1"/>
      <c r="E13" s="1">
        <v>100</v>
      </c>
      <c r="F13" s="1">
        <v>100</v>
      </c>
      <c r="G13" s="6">
        <f t="shared" si="0"/>
        <v>1</v>
      </c>
      <c r="H13" s="11">
        <f t="shared" ref="H13:R18" si="3">H$2*$G13</f>
        <v>0</v>
      </c>
      <c r="I13" s="15">
        <f t="shared" si="3"/>
        <v>10</v>
      </c>
      <c r="J13" s="11">
        <f t="shared" si="3"/>
        <v>10</v>
      </c>
      <c r="K13" s="15">
        <f t="shared" si="3"/>
        <v>20</v>
      </c>
      <c r="L13" s="11">
        <f t="shared" si="3"/>
        <v>20</v>
      </c>
      <c r="M13" s="15">
        <f t="shared" si="3"/>
        <v>50</v>
      </c>
      <c r="N13" s="11">
        <f t="shared" si="3"/>
        <v>50</v>
      </c>
      <c r="O13" s="15">
        <f t="shared" si="3"/>
        <v>75</v>
      </c>
      <c r="P13" s="11">
        <f t="shared" si="3"/>
        <v>75</v>
      </c>
      <c r="Q13" s="15">
        <f t="shared" si="3"/>
        <v>100</v>
      </c>
      <c r="R13" s="11"/>
      <c r="S13" s="15"/>
      <c r="T13" s="1"/>
    </row>
    <row r="14" spans="1:20" x14ac:dyDescent="0.2">
      <c r="A14" s="2">
        <v>12</v>
      </c>
      <c r="B14" s="2"/>
      <c r="C14" s="2" t="s">
        <v>13</v>
      </c>
      <c r="D14" s="2"/>
      <c r="E14" s="2">
        <v>100</v>
      </c>
      <c r="F14" s="2">
        <v>98</v>
      </c>
      <c r="G14" s="7">
        <f t="shared" si="0"/>
        <v>0.98</v>
      </c>
      <c r="H14" s="12">
        <f t="shared" si="3"/>
        <v>0</v>
      </c>
      <c r="I14" s="15">
        <f t="shared" si="3"/>
        <v>9.8000000000000007</v>
      </c>
      <c r="J14" s="12">
        <f t="shared" si="3"/>
        <v>9.8000000000000007</v>
      </c>
      <c r="K14" s="15">
        <f t="shared" si="3"/>
        <v>19.600000000000001</v>
      </c>
      <c r="L14" s="12">
        <f t="shared" si="3"/>
        <v>19.600000000000001</v>
      </c>
      <c r="M14" s="15">
        <f t="shared" si="3"/>
        <v>49</v>
      </c>
      <c r="N14" s="12">
        <f t="shared" si="3"/>
        <v>49</v>
      </c>
      <c r="O14" s="15">
        <f t="shared" si="3"/>
        <v>73.5</v>
      </c>
      <c r="P14" s="12">
        <f t="shared" si="3"/>
        <v>73.5</v>
      </c>
      <c r="Q14" s="15">
        <f t="shared" si="3"/>
        <v>98</v>
      </c>
      <c r="R14" s="12"/>
      <c r="S14" s="15"/>
      <c r="T14" s="2"/>
    </row>
    <row r="15" spans="1:20" x14ac:dyDescent="0.2">
      <c r="A15" s="1">
        <v>13</v>
      </c>
      <c r="B15" s="1"/>
      <c r="C15" s="2" t="s">
        <v>13</v>
      </c>
      <c r="D15" s="1"/>
      <c r="E15" s="1">
        <v>100</v>
      </c>
      <c r="F15" s="1">
        <v>98</v>
      </c>
      <c r="G15" s="6">
        <f t="shared" si="0"/>
        <v>0.98</v>
      </c>
      <c r="H15" s="11">
        <f t="shared" si="3"/>
        <v>0</v>
      </c>
      <c r="I15" s="15">
        <f t="shared" si="3"/>
        <v>9.8000000000000007</v>
      </c>
      <c r="J15" s="11">
        <f t="shared" si="3"/>
        <v>9.8000000000000007</v>
      </c>
      <c r="K15" s="15">
        <f t="shared" si="3"/>
        <v>19.600000000000001</v>
      </c>
      <c r="L15" s="11">
        <f t="shared" si="3"/>
        <v>19.600000000000001</v>
      </c>
      <c r="M15" s="15">
        <f t="shared" si="3"/>
        <v>49</v>
      </c>
      <c r="N15" s="11">
        <f t="shared" si="3"/>
        <v>49</v>
      </c>
      <c r="O15" s="15">
        <f t="shared" si="3"/>
        <v>73.5</v>
      </c>
      <c r="P15" s="11">
        <f t="shared" si="3"/>
        <v>73.5</v>
      </c>
      <c r="Q15" s="15">
        <f t="shared" si="3"/>
        <v>98</v>
      </c>
      <c r="R15" s="11"/>
      <c r="S15" s="15"/>
      <c r="T15" s="1"/>
    </row>
    <row r="16" spans="1:20" x14ac:dyDescent="0.2">
      <c r="A16" s="2">
        <v>14</v>
      </c>
      <c r="B16" s="2"/>
      <c r="C16" s="2"/>
      <c r="D16" s="2"/>
      <c r="E16" s="2">
        <v>90</v>
      </c>
      <c r="F16" s="2">
        <v>68</v>
      </c>
      <c r="G16" s="7">
        <f t="shared" si="0"/>
        <v>0.75555555555555554</v>
      </c>
      <c r="H16" s="12">
        <f t="shared" si="3"/>
        <v>0</v>
      </c>
      <c r="I16" s="15">
        <f t="shared" si="3"/>
        <v>7.5555555555555554</v>
      </c>
      <c r="J16" s="12">
        <f t="shared" si="3"/>
        <v>7.5555555555555554</v>
      </c>
      <c r="K16" s="15">
        <f t="shared" si="3"/>
        <v>15.111111111111111</v>
      </c>
      <c r="L16" s="12">
        <f t="shared" si="3"/>
        <v>15.111111111111111</v>
      </c>
      <c r="M16" s="15">
        <f t="shared" si="3"/>
        <v>37.777777777777779</v>
      </c>
      <c r="N16" s="12">
        <f t="shared" si="3"/>
        <v>37.777777777777779</v>
      </c>
      <c r="O16" s="15">
        <f t="shared" si="3"/>
        <v>56.666666666666664</v>
      </c>
      <c r="P16" s="12">
        <f t="shared" si="3"/>
        <v>56.666666666666664</v>
      </c>
      <c r="Q16" s="15">
        <f t="shared" si="3"/>
        <v>75.555555555555557</v>
      </c>
      <c r="R16" s="12"/>
      <c r="S16" s="15"/>
      <c r="T16" s="2" t="s">
        <v>7</v>
      </c>
    </row>
    <row r="17" spans="1:20" x14ac:dyDescent="0.2">
      <c r="A17" s="1">
        <v>15</v>
      </c>
      <c r="B17" s="1"/>
      <c r="C17" s="1"/>
      <c r="D17" s="1"/>
      <c r="E17" s="1">
        <v>100</v>
      </c>
      <c r="F17" s="1">
        <v>98</v>
      </c>
      <c r="G17" s="6">
        <f t="shared" si="0"/>
        <v>0.98</v>
      </c>
      <c r="H17" s="11">
        <f t="shared" si="3"/>
        <v>0</v>
      </c>
      <c r="I17" s="15">
        <f t="shared" si="3"/>
        <v>9.8000000000000007</v>
      </c>
      <c r="J17" s="11">
        <f t="shared" si="3"/>
        <v>9.8000000000000007</v>
      </c>
      <c r="K17" s="15">
        <f t="shared" si="3"/>
        <v>19.600000000000001</v>
      </c>
      <c r="L17" s="11">
        <f t="shared" si="3"/>
        <v>19.600000000000001</v>
      </c>
      <c r="M17" s="15">
        <f t="shared" si="3"/>
        <v>49</v>
      </c>
      <c r="N17" s="11">
        <f t="shared" si="3"/>
        <v>49</v>
      </c>
      <c r="O17" s="15">
        <f t="shared" si="3"/>
        <v>73.5</v>
      </c>
      <c r="P17" s="11">
        <f t="shared" si="3"/>
        <v>73.5</v>
      </c>
      <c r="Q17" s="15">
        <f t="shared" si="3"/>
        <v>98</v>
      </c>
      <c r="R17" s="11"/>
      <c r="S17" s="15"/>
      <c r="T17" s="1"/>
    </row>
    <row r="18" spans="1:20" x14ac:dyDescent="0.2">
      <c r="A18" s="2">
        <v>16</v>
      </c>
      <c r="B18" s="2"/>
      <c r="C18" s="2"/>
      <c r="D18" s="2"/>
      <c r="E18" s="2">
        <v>98</v>
      </c>
      <c r="F18" s="2">
        <v>98</v>
      </c>
      <c r="G18" s="7">
        <f t="shared" si="0"/>
        <v>1</v>
      </c>
      <c r="H18" s="12">
        <f t="shared" si="3"/>
        <v>0</v>
      </c>
      <c r="I18" s="15">
        <f t="shared" si="3"/>
        <v>10</v>
      </c>
      <c r="J18" s="12">
        <f t="shared" si="3"/>
        <v>10</v>
      </c>
      <c r="K18" s="15">
        <f t="shared" si="3"/>
        <v>20</v>
      </c>
      <c r="L18" s="12">
        <f t="shared" si="3"/>
        <v>20</v>
      </c>
      <c r="M18" s="15">
        <f t="shared" si="3"/>
        <v>50</v>
      </c>
      <c r="N18" s="12">
        <f t="shared" si="3"/>
        <v>50</v>
      </c>
      <c r="O18" s="15">
        <f t="shared" si="3"/>
        <v>75</v>
      </c>
      <c r="P18" s="12">
        <f t="shared" si="3"/>
        <v>75</v>
      </c>
      <c r="Q18" s="15">
        <f t="shared" si="3"/>
        <v>100</v>
      </c>
      <c r="R18" s="12"/>
      <c r="S18" s="15"/>
      <c r="T18" s="2"/>
    </row>
    <row r="19" spans="1:20" x14ac:dyDescent="0.2">
      <c r="A19" s="1">
        <v>17</v>
      </c>
      <c r="B19" s="1"/>
      <c r="C19" s="1" t="s">
        <v>12</v>
      </c>
      <c r="D19" s="1"/>
      <c r="E19" s="1"/>
      <c r="F19" s="1"/>
      <c r="G19" s="6"/>
      <c r="H19" s="11"/>
      <c r="I19" s="15"/>
      <c r="J19" s="11"/>
      <c r="K19" s="15"/>
      <c r="L19" s="11"/>
      <c r="M19" s="15"/>
      <c r="N19" s="11"/>
      <c r="O19" s="15"/>
      <c r="P19" s="11"/>
      <c r="Q19" s="15"/>
      <c r="R19" s="11"/>
      <c r="S19" s="15"/>
      <c r="T19" s="1" t="s">
        <v>8</v>
      </c>
    </row>
    <row r="20" spans="1:20" x14ac:dyDescent="0.2">
      <c r="A20" s="2">
        <v>18</v>
      </c>
      <c r="B20" s="2"/>
      <c r="C20" s="2"/>
      <c r="D20" s="2"/>
      <c r="E20" s="2">
        <v>85</v>
      </c>
      <c r="F20" s="2">
        <v>34</v>
      </c>
      <c r="G20" s="7">
        <f>F20/E20</f>
        <v>0.4</v>
      </c>
      <c r="H20" s="12">
        <f t="shared" ref="H20:R21" si="4">H$2*$G20</f>
        <v>0</v>
      </c>
      <c r="I20" s="15">
        <f t="shared" si="4"/>
        <v>4</v>
      </c>
      <c r="J20" s="12">
        <f t="shared" si="4"/>
        <v>4</v>
      </c>
      <c r="K20" s="15">
        <f t="shared" si="4"/>
        <v>8</v>
      </c>
      <c r="L20" s="12">
        <f t="shared" si="4"/>
        <v>8</v>
      </c>
      <c r="M20" s="15">
        <f t="shared" si="4"/>
        <v>20</v>
      </c>
      <c r="N20" s="12">
        <f t="shared" si="4"/>
        <v>20</v>
      </c>
      <c r="O20" s="15">
        <f t="shared" si="4"/>
        <v>30</v>
      </c>
      <c r="P20" s="12">
        <f t="shared" si="4"/>
        <v>30</v>
      </c>
      <c r="Q20" s="15">
        <f t="shared" si="4"/>
        <v>40</v>
      </c>
      <c r="R20" s="12"/>
      <c r="S20" s="15"/>
      <c r="T20" s="2"/>
    </row>
    <row r="21" spans="1:20" x14ac:dyDescent="0.2">
      <c r="A21" s="1">
        <v>19</v>
      </c>
      <c r="B21" s="1"/>
      <c r="C21" s="1"/>
      <c r="D21" s="1"/>
      <c r="E21" s="1">
        <v>85</v>
      </c>
      <c r="F21" s="1">
        <v>52</v>
      </c>
      <c r="G21" s="6">
        <f>F21/E21</f>
        <v>0.61176470588235299</v>
      </c>
      <c r="H21" s="11">
        <f t="shared" si="4"/>
        <v>0</v>
      </c>
      <c r="I21" s="15">
        <f t="shared" si="4"/>
        <v>6.1176470588235299</v>
      </c>
      <c r="J21" s="11">
        <f t="shared" si="4"/>
        <v>6.1176470588235299</v>
      </c>
      <c r="K21" s="15">
        <f t="shared" si="4"/>
        <v>12.23529411764706</v>
      </c>
      <c r="L21" s="11">
        <f t="shared" si="4"/>
        <v>12.23529411764706</v>
      </c>
      <c r="M21" s="15">
        <f t="shared" si="4"/>
        <v>30.588235294117649</v>
      </c>
      <c r="N21" s="11">
        <f t="shared" si="4"/>
        <v>30.588235294117649</v>
      </c>
      <c r="O21" s="15">
        <f t="shared" si="4"/>
        <v>45.882352941176471</v>
      </c>
      <c r="P21" s="11">
        <f t="shared" si="4"/>
        <v>45.882352941176471</v>
      </c>
      <c r="Q21" s="15">
        <f t="shared" si="4"/>
        <v>61.176470588235297</v>
      </c>
      <c r="R21" s="11"/>
      <c r="S21" s="15"/>
      <c r="T21" s="1"/>
    </row>
    <row r="22" spans="1:20" x14ac:dyDescent="0.2">
      <c r="A22" s="2">
        <v>20</v>
      </c>
      <c r="B22" s="2"/>
      <c r="C22" s="2"/>
      <c r="D22" s="2"/>
      <c r="E22" s="2">
        <v>30</v>
      </c>
      <c r="F22" s="2">
        <v>26</v>
      </c>
      <c r="G22" s="7">
        <f>F22/E22</f>
        <v>0.8666666666666667</v>
      </c>
      <c r="H22" s="12">
        <f t="shared" ref="H22:R22" si="5">H$2*$G22</f>
        <v>0</v>
      </c>
      <c r="I22" s="15">
        <f t="shared" si="5"/>
        <v>8.6666666666666679</v>
      </c>
      <c r="J22" s="12">
        <f t="shared" si="5"/>
        <v>8.6666666666666679</v>
      </c>
      <c r="K22" s="15">
        <f t="shared" si="5"/>
        <v>17.333333333333336</v>
      </c>
      <c r="L22" s="12">
        <f t="shared" si="5"/>
        <v>17.333333333333336</v>
      </c>
      <c r="M22" s="15">
        <f t="shared" si="5"/>
        <v>43.333333333333336</v>
      </c>
      <c r="N22" s="12"/>
      <c r="O22" s="15"/>
      <c r="P22" s="12"/>
      <c r="Q22" s="15"/>
      <c r="R22" s="12"/>
      <c r="S22" s="15"/>
      <c r="T22" s="2"/>
    </row>
    <row r="23" spans="1:20" ht="17" thickBot="1" x14ac:dyDescent="0.25">
      <c r="A23" s="1">
        <v>21</v>
      </c>
      <c r="B23" s="1"/>
      <c r="C23" s="1"/>
      <c r="D23" s="1"/>
      <c r="E23" s="1"/>
      <c r="F23" s="1"/>
      <c r="G23" s="6"/>
      <c r="H23" s="13"/>
      <c r="I23" s="16"/>
      <c r="J23" s="13"/>
      <c r="K23" s="16"/>
      <c r="L23" s="13"/>
      <c r="M23" s="16"/>
      <c r="N23" s="13"/>
      <c r="O23" s="16"/>
      <c r="P23" s="13"/>
      <c r="Q23" s="16"/>
      <c r="R23" s="13"/>
      <c r="S23" s="16"/>
      <c r="T23" s="1"/>
    </row>
  </sheetData>
  <mergeCells count="6">
    <mergeCell ref="R1:S1"/>
    <mergeCell ref="H1:I1"/>
    <mergeCell ref="J1:K1"/>
    <mergeCell ref="L1:M1"/>
    <mergeCell ref="N1:O1"/>
    <mergeCell ref="P1:Q1"/>
  </mergeCells>
  <phoneticPr fontId="4" type="noConversion"/>
  <pageMargins left="0.25" right="0.25" top="0.75" bottom="0.75" header="0.3" footer="0.3"/>
  <pageSetup scale="52" fitToHeight="0" orientation="landscape" horizontalDpi="0" verticalDpi="0" copies="5"/>
  <headerFooter>
    <oddHeader>&amp;C&amp;"-,Bold"core collection information&amp;"-,Regular"
hdegerows&amp;R&amp;"System Font,Regular"&amp;10&amp;K000000A. Guzman
K. Finstad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Aidee</dc:creator>
  <cp:lastModifiedBy>Aidee Guzman</cp:lastModifiedBy>
  <cp:lastPrinted>2024-07-30T04:14:29Z</cp:lastPrinted>
  <dcterms:created xsi:type="dcterms:W3CDTF">2024-07-30T04:03:51Z</dcterms:created>
  <dcterms:modified xsi:type="dcterms:W3CDTF">2025-01-05T02:38:24Z</dcterms:modified>
</cp:coreProperties>
</file>