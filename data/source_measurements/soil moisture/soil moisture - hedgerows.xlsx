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soil moisture/"/>
    </mc:Choice>
  </mc:AlternateContent>
  <xr:revisionPtr revIDLastSave="496" documentId="8_{7062A22C-0995-B543-9491-97EE92BEA7FD}" xr6:coauthVersionLast="47" xr6:coauthVersionMax="47" xr10:uidLastSave="{5227D57E-5576-724F-A1E1-AF7E343C7BEF}"/>
  <bookViews>
    <workbookView xWindow="17100" yWindow="860" windowWidth="17100" windowHeight="20560" xr2:uid="{3366DEA6-9286-0946-9005-7745388638B6}"/>
  </bookViews>
  <sheets>
    <sheet name="Sheet1" sheetId="1" r:id="rId1"/>
    <sheet name="Sheet2" sheetId="2" r:id="rId2"/>
  </sheets>
  <definedNames>
    <definedName name="_xlnm._FilterDatabase" localSheetId="0" hidden="1">Sheet1!$A$11:$U$11</definedName>
    <definedName name="_xlnm.Print_Titles" localSheetId="0">Sheet1!$1:$11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/>
  <c r="S29" i="1"/>
  <c r="T29" i="1" s="1"/>
  <c r="S30" i="1"/>
  <c r="T30" i="1" s="1"/>
  <c r="S31" i="1"/>
  <c r="T31" i="1"/>
  <c r="S32" i="1"/>
  <c r="T32" i="1" s="1"/>
  <c r="S33" i="1"/>
  <c r="T33" i="1" s="1"/>
  <c r="S34" i="1"/>
  <c r="T34" i="1" s="1"/>
  <c r="S35" i="1"/>
  <c r="T35" i="1"/>
  <c r="S36" i="1"/>
  <c r="T36" i="1"/>
  <c r="S37" i="1"/>
  <c r="T37" i="1" s="1"/>
  <c r="S38" i="1"/>
  <c r="T38" i="1" s="1"/>
  <c r="S39" i="1"/>
  <c r="T39" i="1"/>
  <c r="S40" i="1"/>
  <c r="T40" i="1"/>
  <c r="S41" i="1"/>
  <c r="T41" i="1" s="1"/>
  <c r="S42" i="1"/>
  <c r="T42" i="1" s="1"/>
  <c r="S43" i="1"/>
  <c r="T43" i="1" s="1"/>
  <c r="S44" i="1"/>
  <c r="T44" i="1"/>
  <c r="S45" i="1"/>
  <c r="T45" i="1" s="1"/>
  <c r="S46" i="1"/>
  <c r="T46" i="1" s="1"/>
  <c r="S47" i="1"/>
  <c r="T47" i="1"/>
  <c r="S48" i="1"/>
  <c r="T48" i="1" s="1"/>
  <c r="S49" i="1"/>
  <c r="T49" i="1" s="1"/>
  <c r="S50" i="1"/>
  <c r="T50" i="1" s="1"/>
  <c r="S51" i="1"/>
  <c r="T51" i="1"/>
  <c r="S52" i="1"/>
  <c r="T52" i="1"/>
  <c r="S53" i="1"/>
  <c r="T53" i="1" s="1"/>
  <c r="S54" i="1"/>
  <c r="T54" i="1" s="1"/>
  <c r="S55" i="1"/>
  <c r="T55" i="1"/>
  <c r="S56" i="1"/>
  <c r="T56" i="1"/>
  <c r="S57" i="1"/>
  <c r="T57" i="1" s="1"/>
  <c r="S58" i="1"/>
  <c r="T58" i="1" s="1"/>
  <c r="S59" i="1"/>
  <c r="T59" i="1" s="1"/>
  <c r="S60" i="1"/>
  <c r="T60" i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/>
  <c r="S68" i="1"/>
  <c r="T68" i="1"/>
  <c r="S69" i="1"/>
  <c r="T69" i="1"/>
  <c r="S70" i="1"/>
  <c r="T70" i="1" s="1"/>
  <c r="S71" i="1"/>
  <c r="T71" i="1"/>
  <c r="S72" i="1"/>
  <c r="T72" i="1"/>
  <c r="S73" i="1"/>
  <c r="T73" i="1"/>
  <c r="S74" i="1"/>
  <c r="T74" i="1" s="1"/>
  <c r="S75" i="1"/>
  <c r="T75" i="1"/>
  <c r="S76" i="1"/>
  <c r="T76" i="1"/>
  <c r="S77" i="1"/>
  <c r="T77" i="1"/>
  <c r="S78" i="1"/>
  <c r="T78" i="1" s="1"/>
  <c r="S79" i="1"/>
  <c r="T79" i="1"/>
  <c r="S80" i="1"/>
  <c r="T80" i="1"/>
  <c r="S81" i="1"/>
  <c r="T81" i="1"/>
  <c r="S82" i="1"/>
  <c r="T82" i="1" s="1"/>
  <c r="S83" i="1"/>
  <c r="T83" i="1"/>
  <c r="S84" i="1"/>
  <c r="T84" i="1"/>
  <c r="S85" i="1"/>
  <c r="T85" i="1"/>
  <c r="S86" i="1"/>
  <c r="T86" i="1" s="1"/>
  <c r="S87" i="1"/>
  <c r="T87" i="1"/>
  <c r="S88" i="1"/>
  <c r="T88" i="1"/>
  <c r="S89" i="1"/>
  <c r="T89" i="1"/>
  <c r="S90" i="1"/>
  <c r="T90" i="1" s="1"/>
  <c r="S91" i="1"/>
  <c r="T91" i="1"/>
  <c r="S92" i="1"/>
  <c r="T92" i="1" s="1"/>
  <c r="S93" i="1"/>
  <c r="T93" i="1" s="1"/>
  <c r="S94" i="1"/>
  <c r="T94" i="1"/>
  <c r="S95" i="1"/>
  <c r="T95" i="1" s="1"/>
  <c r="S96" i="1"/>
  <c r="T96" i="1" s="1"/>
  <c r="S97" i="1"/>
  <c r="T97" i="1" s="1"/>
  <c r="S98" i="1"/>
  <c r="T98" i="1"/>
  <c r="S99" i="1"/>
  <c r="T99" i="1" s="1"/>
  <c r="T12" i="1"/>
  <c r="G3" i="2"/>
  <c r="F3" i="2"/>
  <c r="G2" i="2"/>
  <c r="F2" i="2"/>
  <c r="E2" i="2"/>
  <c r="E3" i="2"/>
  <c r="E4" i="2"/>
</calcChain>
</file>

<file path=xl/sharedStrings.xml><?xml version="1.0" encoding="utf-8"?>
<sst xmlns="http://schemas.openxmlformats.org/spreadsheetml/2006/main" count="581" uniqueCount="58">
  <si>
    <t>Soil core processing</t>
  </si>
  <si>
    <t>1. After cutting the sleeve, carefully remove soil increments into the appropriate bag.</t>
  </si>
  <si>
    <t>2. Record the weight (g) of the whole bag with the soil. Air dry.</t>
  </si>
  <si>
    <t xml:space="preserve">3. Soil moisture: </t>
  </si>
  <si>
    <t>- Record the weight of the appropriate tin (g). Tare.</t>
  </si>
  <si>
    <t>- Take a small scoop of soil (~5g) and record the weight.</t>
  </si>
  <si>
    <t>- Carefully place tin with soil in the oven.</t>
  </si>
  <si>
    <t>- After &gt;48hrs, record the weight of the dried tin + soil (g).</t>
  </si>
  <si>
    <t>3. After air drying bag of soil, weigh bag again.</t>
  </si>
  <si>
    <t>project_id</t>
  </si>
  <si>
    <t>id</t>
  </si>
  <si>
    <t>site_number</t>
  </si>
  <si>
    <t>site_name</t>
  </si>
  <si>
    <t>management_type</t>
  </si>
  <si>
    <t>years_in_management</t>
  </si>
  <si>
    <t>sampling_point</t>
  </si>
  <si>
    <t>core_id</t>
  </si>
  <si>
    <t>core_type</t>
  </si>
  <si>
    <t>increment_number</t>
  </si>
  <si>
    <t>depth_cm</t>
  </si>
  <si>
    <t>sample_code</t>
  </si>
  <si>
    <t>bag_field_moist_soil_g</t>
  </si>
  <si>
    <t>bag_air_dried_soil_g</t>
  </si>
  <si>
    <t>tin_g</t>
  </si>
  <si>
    <t>field_moist_soil_g</t>
  </si>
  <si>
    <t>dry_tin_soil_g</t>
  </si>
  <si>
    <t>dry_soil_g</t>
  </si>
  <si>
    <t>gwc</t>
  </si>
  <si>
    <t>notes</t>
  </si>
  <si>
    <t>CD</t>
  </si>
  <si>
    <t>OR</t>
  </si>
  <si>
    <t>Hrdy1996-100cm-Xtrasegm.</t>
  </si>
  <si>
    <t>sites</t>
  </si>
  <si>
    <t>sampling point</t>
  </si>
  <si>
    <t>cores</t>
  </si>
  <si>
    <t>increments</t>
  </si>
  <si>
    <t>total samples</t>
  </si>
  <si>
    <t>sleeves needed</t>
  </si>
  <si>
    <t>sleeves for fresno</t>
  </si>
  <si>
    <t>moisture_corrected_total_soil_g</t>
  </si>
  <si>
    <t>HRDY1</t>
  </si>
  <si>
    <t>hedgerow</t>
  </si>
  <si>
    <t>0m</t>
  </si>
  <si>
    <t>14C</t>
  </si>
  <si>
    <t>0-10</t>
  </si>
  <si>
    <t>10-20</t>
  </si>
  <si>
    <t>20-50</t>
  </si>
  <si>
    <t>50-75</t>
  </si>
  <si>
    <t>75-100</t>
  </si>
  <si>
    <t>50m</t>
  </si>
  <si>
    <t>100m</t>
  </si>
  <si>
    <t>HRDY2</t>
  </si>
  <si>
    <t>HRDY3</t>
  </si>
  <si>
    <t>control</t>
  </si>
  <si>
    <t>JOMA1</t>
  </si>
  <si>
    <t>0m #2</t>
  </si>
  <si>
    <t>150m</t>
  </si>
  <si>
    <t>JOMA2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</si>
</sst>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quotePrefix="1" applyFill="1" applyBorder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6" fillId="0" borderId="1" xfId="0" applyFont="1" applyBorder="1"/>
    <xf numFmtId="0" fontId="6" fillId="3" borderId="1" xfId="0" applyFont="1" applyFill="1" applyBorder="1"/>
    <xf numFmtId="0" fontId="0" fillId="4" borderId="1" xfId="0" applyFill="1" applyBorder="1"/>
    <xf numFmtId="0" fontId="0" fillId="4" borderId="1" xfId="0" quotePrefix="1" applyFill="1" applyBorder="1"/>
    <xf numFmtId="0" fontId="7" fillId="4" borderId="1" xfId="0" applyFont="1" applyFill="1" applyBorder="1"/>
    <xf numFmtId="164" fontId="0" fillId="3" borderId="1" xfId="0" applyNumberFormat="1" applyFill="1" applyBorder="1"/>
    <xf numFmtId="2" fontId="4" fillId="0" borderId="0" xfId="0" applyNumberFormat="1" applyFont="1"/>
    <xf numFmtId="2" fontId="2" fillId="2" borderId="1" xfId="0" applyNumberFormat="1" applyFont="1" applyFill="1" applyBorder="1" applyAlignment="1">
      <alignment wrapText="1"/>
    </xf>
    <xf numFmtId="2" fontId="0" fillId="0" borderId="1" xfId="0" applyNumberFormat="1" applyBorder="1"/>
    <xf numFmtId="2" fontId="0" fillId="4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9E93-E19F-7740-8FD4-72E4CA9785C0}">
  <dimension ref="A1:U99"/>
  <sheetViews>
    <sheetView tabSelected="1" topLeftCell="B11" zoomScale="75" zoomScaleNormal="215" zoomScalePageLayoutView="140" workbookViewId="0">
      <pane ySplit="1" topLeftCell="A12" activePane="bottomLeft" state="frozen"/>
      <selection activeCell="Q44" sqref="Q44"/>
      <selection pane="bottomLeft" activeCell="B32" sqref="A32:XFD36"/>
    </sheetView>
  </sheetViews>
  <sheetFormatPr baseColWidth="10" defaultColWidth="11" defaultRowHeight="16" x14ac:dyDescent="0.2"/>
  <cols>
    <col min="1" max="1" width="11.83203125" hidden="1" customWidth="1"/>
    <col min="2" max="2" width="12" customWidth="1"/>
    <col min="3" max="3" width="14" hidden="1" customWidth="1"/>
    <col min="4" max="4" width="12.33203125" customWidth="1"/>
    <col min="5" max="5" width="19.1640625" hidden="1" customWidth="1"/>
    <col min="6" max="6" width="22.5" hidden="1" customWidth="1"/>
    <col min="7" max="7" width="16.33203125" hidden="1" customWidth="1"/>
    <col min="8" max="8" width="9.6640625" hidden="1" customWidth="1"/>
    <col min="9" max="9" width="15" hidden="1" customWidth="1"/>
    <col min="10" max="10" width="19.5" customWidth="1"/>
    <col min="11" max="11" width="11.83203125" customWidth="1"/>
    <col min="12" max="12" width="16" hidden="1" customWidth="1"/>
    <col min="13" max="13" width="21.6640625" customWidth="1"/>
    <col min="14" max="14" width="32.1640625" bestFit="1" customWidth="1"/>
    <col min="15" max="15" width="14.6640625" bestFit="1" customWidth="1"/>
    <col min="16" max="16" width="10.1640625" customWidth="1"/>
    <col min="17" max="17" width="19.6640625" bestFit="1" customWidth="1"/>
    <col min="18" max="18" width="14.1640625" bestFit="1" customWidth="1"/>
    <col min="19" max="19" width="12.33203125" customWidth="1"/>
    <col min="20" max="20" width="12.33203125" style="19" customWidth="1"/>
    <col min="21" max="21" width="27.5" customWidth="1"/>
  </cols>
  <sheetData>
    <row r="1" spans="1:21" s="4" customFormat="1" ht="14" x14ac:dyDescent="0.2">
      <c r="B1" s="5" t="s">
        <v>0</v>
      </c>
      <c r="T1" s="15"/>
    </row>
    <row r="2" spans="1:21" s="4" customFormat="1" ht="14" x14ac:dyDescent="0.2">
      <c r="B2" s="4" t="s">
        <v>1</v>
      </c>
      <c r="T2" s="15"/>
    </row>
    <row r="3" spans="1:21" s="4" customFormat="1" ht="14" x14ac:dyDescent="0.2">
      <c r="B3" s="4" t="s">
        <v>2</v>
      </c>
      <c r="T3" s="15"/>
    </row>
    <row r="4" spans="1:21" s="4" customFormat="1" ht="14" x14ac:dyDescent="0.2">
      <c r="B4" s="4" t="s">
        <v>3</v>
      </c>
      <c r="T4" s="15"/>
    </row>
    <row r="5" spans="1:21" s="4" customFormat="1" ht="14" x14ac:dyDescent="0.2">
      <c r="M5" s="6" t="s">
        <v>4</v>
      </c>
      <c r="N5" s="6"/>
      <c r="O5" s="6"/>
      <c r="T5" s="15"/>
    </row>
    <row r="6" spans="1:21" s="4" customFormat="1" ht="14" x14ac:dyDescent="0.2">
      <c r="M6" s="6" t="s">
        <v>5</v>
      </c>
      <c r="N6" s="6"/>
      <c r="O6" s="6"/>
      <c r="T6" s="15"/>
    </row>
    <row r="7" spans="1:21" s="4" customFormat="1" ht="14" x14ac:dyDescent="0.2">
      <c r="M7" s="6" t="s">
        <v>6</v>
      </c>
      <c r="N7" s="6"/>
      <c r="O7" s="6"/>
      <c r="T7" s="15"/>
    </row>
    <row r="8" spans="1:21" s="4" customFormat="1" ht="14" x14ac:dyDescent="0.2">
      <c r="M8" s="6" t="s">
        <v>7</v>
      </c>
      <c r="N8" s="6"/>
      <c r="O8" s="6"/>
      <c r="T8" s="15"/>
    </row>
    <row r="9" spans="1:21" s="4" customFormat="1" ht="14" x14ac:dyDescent="0.2">
      <c r="B9" s="4" t="s">
        <v>8</v>
      </c>
      <c r="M9" s="6"/>
      <c r="N9" s="6"/>
      <c r="O9" s="6"/>
      <c r="T9" s="15"/>
    </row>
    <row r="10" spans="1:21" s="4" customFormat="1" ht="14" x14ac:dyDescent="0.2">
      <c r="M10" s="6"/>
      <c r="N10" s="6"/>
      <c r="O10" s="6"/>
      <c r="T10" s="15"/>
    </row>
    <row r="11" spans="1:21" s="7" customFormat="1" ht="34" x14ac:dyDescent="0.2">
      <c r="A11" s="7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18</v>
      </c>
      <c r="K11" s="8" t="s">
        <v>19</v>
      </c>
      <c r="L11" s="8" t="s">
        <v>20</v>
      </c>
      <c r="M11" s="8" t="s">
        <v>21</v>
      </c>
      <c r="N11" s="8" t="s">
        <v>39</v>
      </c>
      <c r="O11" s="8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16" t="s">
        <v>27</v>
      </c>
      <c r="U11" s="8" t="s">
        <v>28</v>
      </c>
    </row>
    <row r="12" spans="1:21" x14ac:dyDescent="0.2">
      <c r="A12" t="s">
        <v>29</v>
      </c>
      <c r="B12" s="1">
        <v>182</v>
      </c>
      <c r="C12" s="1"/>
      <c r="D12" s="1" t="s">
        <v>40</v>
      </c>
      <c r="E12" s="1" t="s">
        <v>41</v>
      </c>
      <c r="F12" s="1">
        <v>1996</v>
      </c>
      <c r="G12" s="1">
        <v>1</v>
      </c>
      <c r="H12" s="1" t="s">
        <v>42</v>
      </c>
      <c r="I12" s="1" t="s">
        <v>43</v>
      </c>
      <c r="J12" s="1">
        <v>1</v>
      </c>
      <c r="K12" s="1" t="s">
        <v>44</v>
      </c>
      <c r="L12" s="1"/>
      <c r="M12" s="1">
        <v>101.37</v>
      </c>
      <c r="N12" s="1"/>
      <c r="O12" s="1">
        <v>96.58</v>
      </c>
      <c r="P12" s="1">
        <v>1.2611000000000001</v>
      </c>
      <c r="Q12" s="1">
        <v>2.7063000000000001</v>
      </c>
      <c r="R12" s="1">
        <v>3.8599000000000001</v>
      </c>
      <c r="S12" s="1">
        <f t="shared" ref="S12:S43" si="0">R12-P12</f>
        <v>2.5987999999999998</v>
      </c>
      <c r="T12" s="17">
        <f t="shared" ref="T12:T43" si="1">((Q12-S12)/S12)*100</f>
        <v>4.1365245497922265</v>
      </c>
      <c r="U12" s="1"/>
    </row>
    <row r="13" spans="1:21" x14ac:dyDescent="0.2">
      <c r="A13" t="s">
        <v>29</v>
      </c>
      <c r="B13" s="2">
        <v>183</v>
      </c>
      <c r="C13" s="2"/>
      <c r="D13" s="2" t="s">
        <v>40</v>
      </c>
      <c r="E13" s="2" t="s">
        <v>41</v>
      </c>
      <c r="F13" s="2">
        <v>1996</v>
      </c>
      <c r="G13" s="2">
        <v>1</v>
      </c>
      <c r="H13" s="2" t="s">
        <v>42</v>
      </c>
      <c r="I13" s="2" t="s">
        <v>43</v>
      </c>
      <c r="J13" s="3">
        <v>2</v>
      </c>
      <c r="K13" s="2" t="s">
        <v>45</v>
      </c>
      <c r="L13" s="2"/>
      <c r="M13" s="2">
        <v>126.97</v>
      </c>
      <c r="N13" s="2"/>
      <c r="O13" s="2">
        <v>118.54</v>
      </c>
      <c r="P13" s="2">
        <v>1.2621</v>
      </c>
      <c r="Q13" s="2">
        <v>2.3462000000000001</v>
      </c>
      <c r="R13" s="2">
        <v>3.4466999999999999</v>
      </c>
      <c r="S13" s="1">
        <f t="shared" si="0"/>
        <v>2.1845999999999997</v>
      </c>
      <c r="T13" s="17">
        <f t="shared" si="1"/>
        <v>7.3972351917971455</v>
      </c>
      <c r="U13" s="2"/>
    </row>
    <row r="14" spans="1:21" x14ac:dyDescent="0.2">
      <c r="A14" t="s">
        <v>29</v>
      </c>
      <c r="B14" s="1">
        <v>184</v>
      </c>
      <c r="C14" s="1"/>
      <c r="D14" s="1" t="s">
        <v>40</v>
      </c>
      <c r="E14" s="1" t="s">
        <v>41</v>
      </c>
      <c r="F14" s="1">
        <v>1996</v>
      </c>
      <c r="G14" s="1">
        <v>1</v>
      </c>
      <c r="H14" s="1" t="s">
        <v>42</v>
      </c>
      <c r="I14" s="1" t="s">
        <v>43</v>
      </c>
      <c r="J14" s="1">
        <v>3</v>
      </c>
      <c r="K14" s="1" t="s">
        <v>46</v>
      </c>
      <c r="L14" s="1"/>
      <c r="M14" s="1">
        <v>404.11</v>
      </c>
      <c r="N14" s="1"/>
      <c r="O14" s="1">
        <v>379.77</v>
      </c>
      <c r="P14" s="1">
        <v>1.266</v>
      </c>
      <c r="Q14" s="1">
        <v>2.4674</v>
      </c>
      <c r="R14" s="1">
        <v>3.4967000000000001</v>
      </c>
      <c r="S14" s="1">
        <f t="shared" si="0"/>
        <v>2.2307000000000001</v>
      </c>
      <c r="T14" s="17">
        <f t="shared" si="1"/>
        <v>10.611018962657457</v>
      </c>
      <c r="U14" s="1"/>
    </row>
    <row r="15" spans="1:21" x14ac:dyDescent="0.2">
      <c r="A15" t="s">
        <v>29</v>
      </c>
      <c r="B15" s="2">
        <v>185</v>
      </c>
      <c r="C15" s="2"/>
      <c r="D15" s="2" t="s">
        <v>40</v>
      </c>
      <c r="E15" s="2" t="s">
        <v>41</v>
      </c>
      <c r="F15" s="2">
        <v>1996</v>
      </c>
      <c r="G15" s="2">
        <v>1</v>
      </c>
      <c r="H15" s="2" t="s">
        <v>42</v>
      </c>
      <c r="I15" s="2" t="s">
        <v>43</v>
      </c>
      <c r="J15" s="3">
        <v>4</v>
      </c>
      <c r="K15" s="2" t="s">
        <v>47</v>
      </c>
      <c r="L15" s="2"/>
      <c r="M15" s="2">
        <v>348.75</v>
      </c>
      <c r="N15" s="2"/>
      <c r="O15" s="2">
        <v>329.54</v>
      </c>
      <c r="P15" s="2">
        <v>1.2706999999999999</v>
      </c>
      <c r="Q15" s="2">
        <v>2.9140000000000001</v>
      </c>
      <c r="R15" s="2">
        <v>3.8974000000000002</v>
      </c>
      <c r="S15" s="1">
        <f t="shared" si="0"/>
        <v>2.6267000000000005</v>
      </c>
      <c r="T15" s="17">
        <f t="shared" si="1"/>
        <v>10.937678455857144</v>
      </c>
      <c r="U15" s="2"/>
    </row>
    <row r="16" spans="1:21" x14ac:dyDescent="0.2">
      <c r="A16" t="s">
        <v>29</v>
      </c>
      <c r="B16" s="1">
        <v>186</v>
      </c>
      <c r="C16" s="1"/>
      <c r="D16" s="1" t="s">
        <v>40</v>
      </c>
      <c r="E16" s="1" t="s">
        <v>41</v>
      </c>
      <c r="F16" s="1">
        <v>1996</v>
      </c>
      <c r="G16" s="1">
        <v>1</v>
      </c>
      <c r="H16" s="1" t="s">
        <v>42</v>
      </c>
      <c r="I16" s="1" t="s">
        <v>43</v>
      </c>
      <c r="J16" s="1">
        <v>5</v>
      </c>
      <c r="K16" s="1" t="s">
        <v>48</v>
      </c>
      <c r="L16" s="1"/>
      <c r="M16" s="1">
        <v>291.51</v>
      </c>
      <c r="N16" s="1"/>
      <c r="O16" s="1">
        <v>270.45</v>
      </c>
      <c r="P16" s="1">
        <v>1.2605</v>
      </c>
      <c r="Q16" s="1">
        <v>2.3700999999999999</v>
      </c>
      <c r="R16" s="1">
        <v>3.3948</v>
      </c>
      <c r="S16" s="1">
        <f t="shared" si="0"/>
        <v>2.1343000000000001</v>
      </c>
      <c r="T16" s="17">
        <f t="shared" si="1"/>
        <v>11.048118821159152</v>
      </c>
      <c r="U16" s="1"/>
    </row>
    <row r="17" spans="1:21" x14ac:dyDescent="0.2">
      <c r="A17" t="s">
        <v>29</v>
      </c>
      <c r="B17" s="2">
        <v>187</v>
      </c>
      <c r="C17" s="2"/>
      <c r="D17" s="2" t="s">
        <v>40</v>
      </c>
      <c r="E17" s="2" t="s">
        <v>41</v>
      </c>
      <c r="F17" s="2">
        <v>1996</v>
      </c>
      <c r="G17" s="2">
        <v>2</v>
      </c>
      <c r="H17" s="2" t="s">
        <v>49</v>
      </c>
      <c r="I17" s="2" t="s">
        <v>43</v>
      </c>
      <c r="J17" s="3">
        <v>1</v>
      </c>
      <c r="K17" s="2" t="s">
        <v>44</v>
      </c>
      <c r="L17" s="2"/>
      <c r="M17" s="2">
        <v>75.790000000000006</v>
      </c>
      <c r="N17" s="2"/>
      <c r="O17" s="2">
        <v>72.489999999999995</v>
      </c>
      <c r="P17" s="2">
        <v>1.2633000000000001</v>
      </c>
      <c r="Q17" s="2">
        <v>2.4333</v>
      </c>
      <c r="R17" s="2">
        <v>3.5889000000000002</v>
      </c>
      <c r="S17" s="1">
        <f t="shared" si="0"/>
        <v>2.3256000000000001</v>
      </c>
      <c r="T17" s="17">
        <f t="shared" si="1"/>
        <v>4.6310629514963839</v>
      </c>
      <c r="U17" s="2"/>
    </row>
    <row r="18" spans="1:21" x14ac:dyDescent="0.2">
      <c r="A18" t="s">
        <v>29</v>
      </c>
      <c r="B18" s="1">
        <v>188</v>
      </c>
      <c r="C18" s="1"/>
      <c r="D18" s="1" t="s">
        <v>40</v>
      </c>
      <c r="E18" s="1" t="s">
        <v>41</v>
      </c>
      <c r="F18" s="1">
        <v>1996</v>
      </c>
      <c r="G18" s="1">
        <v>2</v>
      </c>
      <c r="H18" s="1" t="s">
        <v>49</v>
      </c>
      <c r="I18" s="1" t="s">
        <v>43</v>
      </c>
      <c r="J18" s="1">
        <v>2</v>
      </c>
      <c r="K18" s="1" t="s">
        <v>45</v>
      </c>
      <c r="L18" s="1"/>
      <c r="M18" s="1">
        <v>97.17</v>
      </c>
      <c r="N18" s="1"/>
      <c r="O18" s="1">
        <v>90.7</v>
      </c>
      <c r="P18" s="1">
        <v>1.2594000000000001</v>
      </c>
      <c r="Q18" s="1">
        <v>2.0798999999999999</v>
      </c>
      <c r="R18" s="1">
        <v>3.2004000000000001</v>
      </c>
      <c r="S18" s="1">
        <f t="shared" si="0"/>
        <v>1.9410000000000001</v>
      </c>
      <c r="T18" s="17">
        <f t="shared" si="1"/>
        <v>7.1561051004636678</v>
      </c>
      <c r="U18" s="1"/>
    </row>
    <row r="19" spans="1:21" x14ac:dyDescent="0.2">
      <c r="A19" t="s">
        <v>29</v>
      </c>
      <c r="B19" s="2">
        <v>189</v>
      </c>
      <c r="C19" s="2"/>
      <c r="D19" s="2" t="s">
        <v>40</v>
      </c>
      <c r="E19" s="2" t="s">
        <v>41</v>
      </c>
      <c r="F19" s="2">
        <v>1996</v>
      </c>
      <c r="G19" s="2">
        <v>2</v>
      </c>
      <c r="H19" s="2" t="s">
        <v>49</v>
      </c>
      <c r="I19" s="2" t="s">
        <v>43</v>
      </c>
      <c r="J19" s="3">
        <v>3</v>
      </c>
      <c r="K19" s="2" t="s">
        <v>46</v>
      </c>
      <c r="L19" s="2"/>
      <c r="M19" s="2">
        <v>381.44</v>
      </c>
      <c r="N19" s="2"/>
      <c r="O19" s="2">
        <v>360.37</v>
      </c>
      <c r="P19" s="2">
        <v>1.2666999999999999</v>
      </c>
      <c r="Q19" s="2">
        <v>2.9106000000000001</v>
      </c>
      <c r="R19" s="2">
        <v>3.9001000000000001</v>
      </c>
      <c r="S19" s="1">
        <f t="shared" si="0"/>
        <v>2.6334</v>
      </c>
      <c r="T19" s="17">
        <f t="shared" si="1"/>
        <v>10.526315789473689</v>
      </c>
      <c r="U19" s="2"/>
    </row>
    <row r="20" spans="1:21" x14ac:dyDescent="0.2">
      <c r="A20" t="s">
        <v>29</v>
      </c>
      <c r="B20" s="1">
        <v>190</v>
      </c>
      <c r="C20" s="1"/>
      <c r="D20" s="1" t="s">
        <v>40</v>
      </c>
      <c r="E20" s="1" t="s">
        <v>41</v>
      </c>
      <c r="F20" s="1">
        <v>1996</v>
      </c>
      <c r="G20" s="1">
        <v>2</v>
      </c>
      <c r="H20" s="1" t="s">
        <v>49</v>
      </c>
      <c r="I20" s="1" t="s">
        <v>43</v>
      </c>
      <c r="J20" s="1">
        <v>4</v>
      </c>
      <c r="K20" s="1" t="s">
        <v>47</v>
      </c>
      <c r="L20" s="1"/>
      <c r="M20" s="1">
        <v>317.39999999999998</v>
      </c>
      <c r="N20" s="1"/>
      <c r="O20" s="1">
        <v>297.5</v>
      </c>
      <c r="P20" s="1">
        <v>1.2635000000000001</v>
      </c>
      <c r="Q20" s="1">
        <v>2.7437</v>
      </c>
      <c r="R20" s="1">
        <v>3.7641</v>
      </c>
      <c r="S20" s="1">
        <f t="shared" si="0"/>
        <v>2.5005999999999999</v>
      </c>
      <c r="T20" s="17">
        <f t="shared" si="1"/>
        <v>9.7216667999680126</v>
      </c>
      <c r="U20" s="1"/>
    </row>
    <row r="21" spans="1:21" x14ac:dyDescent="0.2">
      <c r="A21" t="s">
        <v>29</v>
      </c>
      <c r="B21" s="2">
        <v>191</v>
      </c>
      <c r="C21" s="2"/>
      <c r="D21" s="2" t="s">
        <v>40</v>
      </c>
      <c r="E21" s="2" t="s">
        <v>41</v>
      </c>
      <c r="F21" s="2">
        <v>1996</v>
      </c>
      <c r="G21" s="2">
        <v>2</v>
      </c>
      <c r="H21" s="2" t="s">
        <v>49</v>
      </c>
      <c r="I21" s="2" t="s">
        <v>43</v>
      </c>
      <c r="J21" s="3">
        <v>5</v>
      </c>
      <c r="K21" s="2" t="s">
        <v>48</v>
      </c>
      <c r="L21" s="2"/>
      <c r="M21" s="2">
        <v>331.71</v>
      </c>
      <c r="N21" s="2"/>
      <c r="O21" s="2">
        <v>317.64</v>
      </c>
      <c r="P21" s="2">
        <v>1.2599</v>
      </c>
      <c r="Q21" s="2">
        <v>2.3481000000000001</v>
      </c>
      <c r="R21" s="2">
        <v>3.4430999999999998</v>
      </c>
      <c r="S21" s="1">
        <f t="shared" si="0"/>
        <v>2.1831999999999998</v>
      </c>
      <c r="T21" s="17">
        <f t="shared" si="1"/>
        <v>7.5531330157567007</v>
      </c>
      <c r="U21" s="2"/>
    </row>
    <row r="22" spans="1:21" x14ac:dyDescent="0.2">
      <c r="A22" t="s">
        <v>29</v>
      </c>
      <c r="B22" s="1">
        <v>192</v>
      </c>
      <c r="C22" s="1"/>
      <c r="D22" s="1" t="s">
        <v>40</v>
      </c>
      <c r="E22" s="1" t="s">
        <v>41</v>
      </c>
      <c r="F22" s="1">
        <v>1996</v>
      </c>
      <c r="G22" s="1">
        <v>3</v>
      </c>
      <c r="H22" s="1" t="s">
        <v>50</v>
      </c>
      <c r="I22" s="1" t="s">
        <v>43</v>
      </c>
      <c r="J22" s="1">
        <v>1</v>
      </c>
      <c r="K22" s="1" t="s">
        <v>44</v>
      </c>
      <c r="L22" s="1"/>
      <c r="M22" s="1">
        <v>93.55</v>
      </c>
      <c r="N22" s="1"/>
      <c r="O22" s="1">
        <v>90.42</v>
      </c>
      <c r="P22" s="1">
        <v>1.2659</v>
      </c>
      <c r="Q22" s="1">
        <v>2.2090000000000001</v>
      </c>
      <c r="R22" s="1">
        <v>3.4018999999999999</v>
      </c>
      <c r="S22" s="1">
        <f t="shared" si="0"/>
        <v>2.1360000000000001</v>
      </c>
      <c r="T22" s="17">
        <f t="shared" si="1"/>
        <v>3.4176029962546797</v>
      </c>
      <c r="U22" s="1"/>
    </row>
    <row r="23" spans="1:21" x14ac:dyDescent="0.2">
      <c r="A23" t="s">
        <v>29</v>
      </c>
      <c r="B23" s="2">
        <v>193</v>
      </c>
      <c r="C23" s="2"/>
      <c r="D23" s="2" t="s">
        <v>40</v>
      </c>
      <c r="E23" s="2" t="s">
        <v>41</v>
      </c>
      <c r="F23" s="2">
        <v>1996</v>
      </c>
      <c r="G23" s="2">
        <v>3</v>
      </c>
      <c r="H23" s="2" t="s">
        <v>50</v>
      </c>
      <c r="I23" s="2" t="s">
        <v>43</v>
      </c>
      <c r="J23" s="3">
        <v>2</v>
      </c>
      <c r="K23" s="2" t="s">
        <v>45</v>
      </c>
      <c r="L23" s="2"/>
      <c r="M23" s="2">
        <v>117.85</v>
      </c>
      <c r="N23" s="2"/>
      <c r="O23" s="2">
        <v>111.53</v>
      </c>
      <c r="P23" s="2">
        <v>1.2684</v>
      </c>
      <c r="Q23" s="2">
        <v>2.9409000000000001</v>
      </c>
      <c r="R23" s="2">
        <v>4.0564</v>
      </c>
      <c r="S23" s="1">
        <f t="shared" si="0"/>
        <v>2.7880000000000003</v>
      </c>
      <c r="T23" s="17">
        <f t="shared" si="1"/>
        <v>5.4842180774748854</v>
      </c>
      <c r="U23" s="2"/>
    </row>
    <row r="24" spans="1:21" x14ac:dyDescent="0.2">
      <c r="A24" t="s">
        <v>29</v>
      </c>
      <c r="B24" s="11">
        <v>194</v>
      </c>
      <c r="C24" s="1"/>
      <c r="D24" s="1" t="s">
        <v>40</v>
      </c>
      <c r="E24" s="1" t="s">
        <v>41</v>
      </c>
      <c r="F24" s="1">
        <v>1996</v>
      </c>
      <c r="G24" s="1">
        <v>3</v>
      </c>
      <c r="H24" s="1" t="s">
        <v>50</v>
      </c>
      <c r="I24" s="1" t="s">
        <v>43</v>
      </c>
      <c r="J24" s="1">
        <v>3</v>
      </c>
      <c r="K24" s="1" t="s">
        <v>46</v>
      </c>
      <c r="L24" s="1"/>
      <c r="M24" s="1">
        <v>382.45</v>
      </c>
      <c r="N24" s="1"/>
      <c r="O24" s="1">
        <v>358.83</v>
      </c>
      <c r="P24" s="1">
        <v>1.2615000000000001</v>
      </c>
      <c r="Q24" s="1">
        <v>2.4723999999999999</v>
      </c>
      <c r="R24" s="9">
        <v>3.5160999999999998</v>
      </c>
      <c r="S24" s="1">
        <f t="shared" si="0"/>
        <v>2.2545999999999999</v>
      </c>
      <c r="T24" s="17">
        <f t="shared" si="1"/>
        <v>9.6602501552381792</v>
      </c>
      <c r="U24" s="1"/>
    </row>
    <row r="25" spans="1:21" x14ac:dyDescent="0.2">
      <c r="A25" t="s">
        <v>29</v>
      </c>
      <c r="B25" s="2">
        <v>195</v>
      </c>
      <c r="C25" s="2"/>
      <c r="D25" s="2" t="s">
        <v>40</v>
      </c>
      <c r="E25" s="2" t="s">
        <v>41</v>
      </c>
      <c r="F25" s="2">
        <v>1996</v>
      </c>
      <c r="G25" s="2">
        <v>3</v>
      </c>
      <c r="H25" s="2" t="s">
        <v>50</v>
      </c>
      <c r="I25" s="2" t="s">
        <v>43</v>
      </c>
      <c r="J25" s="3">
        <v>4</v>
      </c>
      <c r="K25" s="2" t="s">
        <v>47</v>
      </c>
      <c r="L25" s="2"/>
      <c r="M25" s="2">
        <v>293.54000000000002</v>
      </c>
      <c r="N25" s="2"/>
      <c r="O25" s="2">
        <v>272.14999999999998</v>
      </c>
      <c r="P25" s="2">
        <v>1.2604</v>
      </c>
      <c r="Q25" s="2">
        <v>2.8774999999999999</v>
      </c>
      <c r="R25" s="2">
        <v>3.8887999999999998</v>
      </c>
      <c r="S25" s="1">
        <f t="shared" si="0"/>
        <v>2.6284000000000001</v>
      </c>
      <c r="T25" s="17">
        <f t="shared" si="1"/>
        <v>9.4772485162075739</v>
      </c>
      <c r="U25" s="2"/>
    </row>
    <row r="26" spans="1:21" x14ac:dyDescent="0.2">
      <c r="A26" t="s">
        <v>29</v>
      </c>
      <c r="B26" s="1">
        <v>196</v>
      </c>
      <c r="C26" s="1"/>
      <c r="D26" s="1" t="s">
        <v>40</v>
      </c>
      <c r="E26" s="1" t="s">
        <v>41</v>
      </c>
      <c r="F26" s="1">
        <v>1996</v>
      </c>
      <c r="G26" s="1">
        <v>3</v>
      </c>
      <c r="H26" s="1" t="s">
        <v>50</v>
      </c>
      <c r="I26" s="1" t="s">
        <v>43</v>
      </c>
      <c r="J26" s="1">
        <v>5</v>
      </c>
      <c r="K26" s="1" t="s">
        <v>48</v>
      </c>
      <c r="L26" s="1"/>
      <c r="M26" s="1">
        <v>316.24</v>
      </c>
      <c r="N26" s="1"/>
      <c r="O26" s="1">
        <v>297</v>
      </c>
      <c r="P26" s="1">
        <v>1.2655000000000001</v>
      </c>
      <c r="Q26" s="1">
        <v>2.2212000000000001</v>
      </c>
      <c r="R26" s="1">
        <v>3.3161</v>
      </c>
      <c r="S26" s="1">
        <f t="shared" si="0"/>
        <v>2.0506000000000002</v>
      </c>
      <c r="T26" s="17">
        <f t="shared" si="1"/>
        <v>8.319516239149511</v>
      </c>
      <c r="U26" s="1"/>
    </row>
    <row r="27" spans="1:21" x14ac:dyDescent="0.2">
      <c r="A27" t="s">
        <v>29</v>
      </c>
      <c r="B27" s="2">
        <v>197</v>
      </c>
      <c r="C27" s="2"/>
      <c r="D27" s="2" t="s">
        <v>51</v>
      </c>
      <c r="E27" s="2" t="s">
        <v>41</v>
      </c>
      <c r="F27" s="2">
        <v>2015</v>
      </c>
      <c r="G27" s="2">
        <v>1</v>
      </c>
      <c r="H27" s="2" t="s">
        <v>42</v>
      </c>
      <c r="I27" s="2" t="s">
        <v>43</v>
      </c>
      <c r="J27" s="3">
        <v>1</v>
      </c>
      <c r="K27" s="2" t="s">
        <v>44</v>
      </c>
      <c r="L27" s="2"/>
      <c r="M27" s="2">
        <v>88.56</v>
      </c>
      <c r="N27" s="2"/>
      <c r="O27" s="2">
        <v>84.95</v>
      </c>
      <c r="P27" s="2">
        <v>1.2534000000000001</v>
      </c>
      <c r="Q27" s="2">
        <v>2.1566999999999998</v>
      </c>
      <c r="R27" s="2">
        <v>3.3534000000000002</v>
      </c>
      <c r="S27" s="1">
        <f t="shared" si="0"/>
        <v>2.1</v>
      </c>
      <c r="T27" s="17">
        <f t="shared" si="1"/>
        <v>2.6999999999999882</v>
      </c>
      <c r="U27" s="2"/>
    </row>
    <row r="28" spans="1:21" x14ac:dyDescent="0.2">
      <c r="A28" t="s">
        <v>29</v>
      </c>
      <c r="B28" s="1">
        <v>198</v>
      </c>
      <c r="C28" s="1"/>
      <c r="D28" s="1" t="s">
        <v>51</v>
      </c>
      <c r="E28" s="1" t="s">
        <v>41</v>
      </c>
      <c r="F28" s="1">
        <v>2015</v>
      </c>
      <c r="G28" s="1">
        <v>1</v>
      </c>
      <c r="H28" s="1" t="s">
        <v>42</v>
      </c>
      <c r="I28" s="1" t="s">
        <v>43</v>
      </c>
      <c r="J28" s="1">
        <v>2</v>
      </c>
      <c r="K28" s="1" t="s">
        <v>45</v>
      </c>
      <c r="L28" s="1"/>
      <c r="M28" s="1">
        <v>111.58</v>
      </c>
      <c r="N28" s="1"/>
      <c r="O28" s="1">
        <v>105.18</v>
      </c>
      <c r="P28" s="1">
        <v>1.2607999999999999</v>
      </c>
      <c r="Q28" s="1">
        <v>2.0769000000000002</v>
      </c>
      <c r="R28" s="1">
        <v>3.2332000000000001</v>
      </c>
      <c r="S28" s="1">
        <f t="shared" si="0"/>
        <v>1.9724000000000002</v>
      </c>
      <c r="T28" s="17">
        <f t="shared" si="1"/>
        <v>5.2981139728249858</v>
      </c>
      <c r="U28" s="1"/>
    </row>
    <row r="29" spans="1:21" x14ac:dyDescent="0.2">
      <c r="A29" t="s">
        <v>29</v>
      </c>
      <c r="B29" s="2">
        <v>199</v>
      </c>
      <c r="C29" s="2"/>
      <c r="D29" s="2" t="s">
        <v>51</v>
      </c>
      <c r="E29" s="2" t="s">
        <v>41</v>
      </c>
      <c r="F29" s="2">
        <v>2015</v>
      </c>
      <c r="G29" s="2">
        <v>1</v>
      </c>
      <c r="H29" s="2" t="s">
        <v>42</v>
      </c>
      <c r="I29" s="2" t="s">
        <v>43</v>
      </c>
      <c r="J29" s="3">
        <v>3</v>
      </c>
      <c r="K29" s="2" t="s">
        <v>46</v>
      </c>
      <c r="L29" s="2"/>
      <c r="M29" s="2">
        <v>370.23</v>
      </c>
      <c r="N29" s="2"/>
      <c r="O29" s="2">
        <v>347.75</v>
      </c>
      <c r="P29" s="2">
        <v>1.2575000000000001</v>
      </c>
      <c r="Q29" s="2">
        <v>2.0286</v>
      </c>
      <c r="R29" s="2">
        <v>3.1288999999999998</v>
      </c>
      <c r="S29" s="1">
        <f t="shared" si="0"/>
        <v>1.8713999999999997</v>
      </c>
      <c r="T29" s="17">
        <f t="shared" si="1"/>
        <v>8.4001282462327804</v>
      </c>
      <c r="U29" s="2"/>
    </row>
    <row r="30" spans="1:21" x14ac:dyDescent="0.2">
      <c r="A30" t="s">
        <v>29</v>
      </c>
      <c r="B30" s="1">
        <v>200</v>
      </c>
      <c r="C30" s="1"/>
      <c r="D30" s="1" t="s">
        <v>51</v>
      </c>
      <c r="E30" s="1" t="s">
        <v>41</v>
      </c>
      <c r="F30" s="1">
        <v>2015</v>
      </c>
      <c r="G30" s="1">
        <v>1</v>
      </c>
      <c r="H30" s="1" t="s">
        <v>42</v>
      </c>
      <c r="I30" s="1" t="s">
        <v>43</v>
      </c>
      <c r="J30" s="1">
        <v>4</v>
      </c>
      <c r="K30" s="1" t="s">
        <v>47</v>
      </c>
      <c r="L30" s="1"/>
      <c r="M30" s="1">
        <v>297.38</v>
      </c>
      <c r="N30" s="1"/>
      <c r="O30" s="1">
        <v>276.02</v>
      </c>
      <c r="P30" s="1">
        <v>1.2596000000000001</v>
      </c>
      <c r="Q30" s="1">
        <v>2.6412</v>
      </c>
      <c r="R30" s="1">
        <v>3.6118999999999999</v>
      </c>
      <c r="S30" s="1">
        <f t="shared" si="0"/>
        <v>2.3522999999999996</v>
      </c>
      <c r="T30" s="17">
        <f t="shared" si="1"/>
        <v>12.281596735110336</v>
      </c>
      <c r="U30" s="1"/>
    </row>
    <row r="31" spans="1:21" x14ac:dyDescent="0.2">
      <c r="A31" t="s">
        <v>29</v>
      </c>
      <c r="B31" s="2">
        <v>201</v>
      </c>
      <c r="C31" s="2"/>
      <c r="D31" s="2" t="s">
        <v>51</v>
      </c>
      <c r="E31" s="2" t="s">
        <v>41</v>
      </c>
      <c r="F31" s="2">
        <v>2015</v>
      </c>
      <c r="G31" s="2">
        <v>1</v>
      </c>
      <c r="H31" s="2" t="s">
        <v>42</v>
      </c>
      <c r="I31" s="2" t="s">
        <v>43</v>
      </c>
      <c r="J31" s="3">
        <v>5</v>
      </c>
      <c r="K31" s="2" t="s">
        <v>48</v>
      </c>
      <c r="L31" s="2"/>
      <c r="M31" s="2">
        <v>179.25</v>
      </c>
      <c r="N31" s="2"/>
      <c r="O31" s="2">
        <v>166.04</v>
      </c>
      <c r="P31" s="2">
        <v>1.2617</v>
      </c>
      <c r="Q31" s="2">
        <v>2.1494</v>
      </c>
      <c r="R31" s="2">
        <v>3.194</v>
      </c>
      <c r="S31" s="1">
        <f t="shared" si="0"/>
        <v>1.9322999999999999</v>
      </c>
      <c r="T31" s="17">
        <f t="shared" si="1"/>
        <v>11.2353154272111</v>
      </c>
      <c r="U31" s="2"/>
    </row>
    <row r="32" spans="1:21" x14ac:dyDescent="0.2">
      <c r="A32" t="s">
        <v>29</v>
      </c>
      <c r="B32" s="1">
        <v>202</v>
      </c>
      <c r="C32" s="1"/>
      <c r="D32" s="1" t="s">
        <v>51</v>
      </c>
      <c r="E32" s="1" t="s">
        <v>41</v>
      </c>
      <c r="F32" s="1">
        <v>2015</v>
      </c>
      <c r="G32" s="1">
        <v>2</v>
      </c>
      <c r="H32" s="1" t="s">
        <v>49</v>
      </c>
      <c r="I32" s="1" t="s">
        <v>43</v>
      </c>
      <c r="J32" s="1">
        <v>1</v>
      </c>
      <c r="K32" s="1" t="s">
        <v>44</v>
      </c>
      <c r="L32" s="1"/>
      <c r="M32" s="1">
        <v>93.34</v>
      </c>
      <c r="N32" s="1"/>
      <c r="O32" s="1">
        <v>90.41</v>
      </c>
      <c r="P32" s="1">
        <v>1.2676000000000001</v>
      </c>
      <c r="Q32" s="1">
        <v>2.4780000000000002</v>
      </c>
      <c r="R32" s="1">
        <v>3.7101000000000002</v>
      </c>
      <c r="S32" s="1">
        <f t="shared" si="0"/>
        <v>2.4424999999999999</v>
      </c>
      <c r="T32" s="17">
        <f t="shared" si="1"/>
        <v>1.4534288638689994</v>
      </c>
      <c r="U32" s="1"/>
    </row>
    <row r="33" spans="1:21" x14ac:dyDescent="0.2">
      <c r="A33" t="s">
        <v>29</v>
      </c>
      <c r="B33" s="2">
        <v>203</v>
      </c>
      <c r="C33" s="2"/>
      <c r="D33" s="2" t="s">
        <v>51</v>
      </c>
      <c r="E33" s="2" t="s">
        <v>41</v>
      </c>
      <c r="F33" s="2">
        <v>2015</v>
      </c>
      <c r="G33" s="2">
        <v>2</v>
      </c>
      <c r="H33" s="2" t="s">
        <v>49</v>
      </c>
      <c r="I33" s="2" t="s">
        <v>43</v>
      </c>
      <c r="J33" s="3">
        <v>2</v>
      </c>
      <c r="K33" s="2" t="s">
        <v>45</v>
      </c>
      <c r="L33" s="2"/>
      <c r="M33" s="2">
        <v>103.41</v>
      </c>
      <c r="N33" s="2"/>
      <c r="O33" s="2">
        <v>98.75</v>
      </c>
      <c r="P33" s="2">
        <v>1.2673000000000001</v>
      </c>
      <c r="Q33" s="2">
        <v>2.0430000000000001</v>
      </c>
      <c r="R33" s="2">
        <v>3.2341000000000002</v>
      </c>
      <c r="S33" s="1">
        <f t="shared" si="0"/>
        <v>1.9668000000000001</v>
      </c>
      <c r="T33" s="17">
        <f t="shared" si="1"/>
        <v>3.8743136058572318</v>
      </c>
      <c r="U33" s="2"/>
    </row>
    <row r="34" spans="1:21" x14ac:dyDescent="0.2">
      <c r="A34" t="s">
        <v>29</v>
      </c>
      <c r="B34" s="1">
        <v>204</v>
      </c>
      <c r="C34" s="1"/>
      <c r="D34" s="1" t="s">
        <v>51</v>
      </c>
      <c r="E34" s="1" t="s">
        <v>41</v>
      </c>
      <c r="F34" s="1">
        <v>2015</v>
      </c>
      <c r="G34" s="1">
        <v>2</v>
      </c>
      <c r="H34" s="1" t="s">
        <v>49</v>
      </c>
      <c r="I34" s="1" t="s">
        <v>43</v>
      </c>
      <c r="J34" s="1">
        <v>3</v>
      </c>
      <c r="K34" s="1" t="s">
        <v>46</v>
      </c>
      <c r="L34" s="1"/>
      <c r="M34" s="1">
        <v>373.73</v>
      </c>
      <c r="N34" s="1"/>
      <c r="O34" s="1">
        <v>346.81</v>
      </c>
      <c r="P34" s="1">
        <v>1.2526999999999999</v>
      </c>
      <c r="Q34" s="1">
        <v>2.3881999999999999</v>
      </c>
      <c r="R34" s="1">
        <v>3.4636</v>
      </c>
      <c r="S34" s="1">
        <f t="shared" si="0"/>
        <v>2.2109000000000001</v>
      </c>
      <c r="T34" s="17">
        <f t="shared" si="1"/>
        <v>8.0193586322312083</v>
      </c>
      <c r="U34" s="1"/>
    </row>
    <row r="35" spans="1:21" x14ac:dyDescent="0.2">
      <c r="A35" t="s">
        <v>29</v>
      </c>
      <c r="B35" s="2">
        <v>205</v>
      </c>
      <c r="C35" s="2"/>
      <c r="D35" s="2" t="s">
        <v>51</v>
      </c>
      <c r="E35" s="2" t="s">
        <v>41</v>
      </c>
      <c r="F35" s="2">
        <v>2015</v>
      </c>
      <c r="G35" s="2">
        <v>2</v>
      </c>
      <c r="H35" s="2" t="s">
        <v>49</v>
      </c>
      <c r="I35" s="2" t="s">
        <v>43</v>
      </c>
      <c r="J35" s="3">
        <v>4</v>
      </c>
      <c r="K35" s="2" t="s">
        <v>47</v>
      </c>
      <c r="L35" s="2"/>
      <c r="M35" s="2">
        <v>297.10000000000002</v>
      </c>
      <c r="N35" s="2"/>
      <c r="O35" s="2">
        <v>276.07</v>
      </c>
      <c r="P35" s="2">
        <v>1.2625999999999999</v>
      </c>
      <c r="Q35" s="2">
        <v>2.0811000000000002</v>
      </c>
      <c r="R35" s="2">
        <v>3.1810999999999998</v>
      </c>
      <c r="S35" s="1">
        <f t="shared" si="0"/>
        <v>1.9184999999999999</v>
      </c>
      <c r="T35" s="17">
        <f t="shared" si="1"/>
        <v>8.4753713838936839</v>
      </c>
      <c r="U35" s="2"/>
    </row>
    <row r="36" spans="1:21" x14ac:dyDescent="0.2">
      <c r="A36" t="s">
        <v>29</v>
      </c>
      <c r="B36" s="1">
        <v>206</v>
      </c>
      <c r="C36" s="1"/>
      <c r="D36" s="1" t="s">
        <v>51</v>
      </c>
      <c r="E36" s="1" t="s">
        <v>41</v>
      </c>
      <c r="F36" s="1">
        <v>2015</v>
      </c>
      <c r="G36" s="1">
        <v>2</v>
      </c>
      <c r="H36" s="1" t="s">
        <v>49</v>
      </c>
      <c r="I36" s="1" t="s">
        <v>43</v>
      </c>
      <c r="J36" s="1">
        <v>5</v>
      </c>
      <c r="K36" s="1" t="s">
        <v>48</v>
      </c>
      <c r="L36" s="1"/>
      <c r="M36" s="1">
        <v>134.94</v>
      </c>
      <c r="N36" s="1"/>
      <c r="O36" s="1">
        <v>124.8</v>
      </c>
      <c r="P36" s="1">
        <v>1.2604</v>
      </c>
      <c r="Q36" s="1">
        <v>2.7275</v>
      </c>
      <c r="R36" s="1">
        <v>3.7846000000000002</v>
      </c>
      <c r="S36" s="1">
        <f t="shared" si="0"/>
        <v>2.5242000000000004</v>
      </c>
      <c r="T36" s="17">
        <f t="shared" si="1"/>
        <v>8.0540369225893187</v>
      </c>
      <c r="U36" s="1"/>
    </row>
    <row r="37" spans="1:21" x14ac:dyDescent="0.2">
      <c r="A37" t="s">
        <v>29</v>
      </c>
      <c r="B37" s="2">
        <v>207</v>
      </c>
      <c r="C37" s="2"/>
      <c r="D37" s="2" t="s">
        <v>51</v>
      </c>
      <c r="E37" s="2" t="s">
        <v>41</v>
      </c>
      <c r="F37" s="2">
        <v>2015</v>
      </c>
      <c r="G37" s="2">
        <v>3</v>
      </c>
      <c r="H37" s="2" t="s">
        <v>50</v>
      </c>
      <c r="I37" s="2" t="s">
        <v>43</v>
      </c>
      <c r="J37" s="3">
        <v>1</v>
      </c>
      <c r="K37" s="2" t="s">
        <v>44</v>
      </c>
      <c r="L37" s="2"/>
      <c r="M37" s="2">
        <v>123.93</v>
      </c>
      <c r="N37" s="2"/>
      <c r="O37" s="2">
        <v>119.69</v>
      </c>
      <c r="P37" s="2">
        <v>1.2591000000000001</v>
      </c>
      <c r="Q37" s="2">
        <v>2.2486999999999999</v>
      </c>
      <c r="R37" s="2">
        <v>3.4514999999999998</v>
      </c>
      <c r="S37" s="1">
        <f t="shared" si="0"/>
        <v>2.1923999999999997</v>
      </c>
      <c r="T37" s="17">
        <f t="shared" si="1"/>
        <v>2.5679620507206824</v>
      </c>
      <c r="U37" s="2"/>
    </row>
    <row r="38" spans="1:21" x14ac:dyDescent="0.2">
      <c r="A38" t="s">
        <v>29</v>
      </c>
      <c r="B38" s="1">
        <v>208</v>
      </c>
      <c r="C38" s="1"/>
      <c r="D38" s="1" t="s">
        <v>51</v>
      </c>
      <c r="E38" s="1" t="s">
        <v>41</v>
      </c>
      <c r="F38" s="1">
        <v>2015</v>
      </c>
      <c r="G38" s="1">
        <v>3</v>
      </c>
      <c r="H38" s="1" t="s">
        <v>50</v>
      </c>
      <c r="I38" s="1" t="s">
        <v>43</v>
      </c>
      <c r="J38" s="1">
        <v>2</v>
      </c>
      <c r="K38" s="1" t="s">
        <v>45</v>
      </c>
      <c r="L38" s="1"/>
      <c r="M38" s="1">
        <v>98.95</v>
      </c>
      <c r="N38" s="1"/>
      <c r="O38" s="1">
        <v>94.54</v>
      </c>
      <c r="P38" s="1">
        <v>1.258</v>
      </c>
      <c r="Q38" s="1">
        <v>2.3315999999999999</v>
      </c>
      <c r="R38" s="1">
        <v>3.4592000000000001</v>
      </c>
      <c r="S38" s="1">
        <f t="shared" si="0"/>
        <v>2.2012</v>
      </c>
      <c r="T38" s="17">
        <f t="shared" si="1"/>
        <v>5.9240414319462049</v>
      </c>
      <c r="U38" s="1"/>
    </row>
    <row r="39" spans="1:21" x14ac:dyDescent="0.2">
      <c r="A39" t="s">
        <v>29</v>
      </c>
      <c r="B39" s="2">
        <v>209</v>
      </c>
      <c r="C39" s="2"/>
      <c r="D39" s="2" t="s">
        <v>51</v>
      </c>
      <c r="E39" s="2" t="s">
        <v>41</v>
      </c>
      <c r="F39" s="2">
        <v>2015</v>
      </c>
      <c r="G39" s="2">
        <v>3</v>
      </c>
      <c r="H39" s="2" t="s">
        <v>50</v>
      </c>
      <c r="I39" s="2" t="s">
        <v>43</v>
      </c>
      <c r="J39" s="3">
        <v>3</v>
      </c>
      <c r="K39" s="2" t="s">
        <v>46</v>
      </c>
      <c r="L39" s="2"/>
      <c r="M39" s="2">
        <v>339.5</v>
      </c>
      <c r="N39" s="2"/>
      <c r="O39" s="2">
        <v>320.83</v>
      </c>
      <c r="P39" s="2">
        <v>1.2605</v>
      </c>
      <c r="Q39" s="2">
        <v>2.0739000000000001</v>
      </c>
      <c r="R39" s="2">
        <v>3.1831</v>
      </c>
      <c r="S39" s="1">
        <f t="shared" si="0"/>
        <v>1.9226000000000001</v>
      </c>
      <c r="T39" s="17">
        <f t="shared" si="1"/>
        <v>7.869551648808903</v>
      </c>
      <c r="U39" s="2"/>
    </row>
    <row r="40" spans="1:21" x14ac:dyDescent="0.2">
      <c r="A40" t="s">
        <v>29</v>
      </c>
      <c r="B40" s="11">
        <v>210</v>
      </c>
      <c r="C40" s="11"/>
      <c r="D40" s="11" t="s">
        <v>51</v>
      </c>
      <c r="E40" s="11" t="s">
        <v>41</v>
      </c>
      <c r="F40" s="11">
        <v>2015</v>
      </c>
      <c r="G40" s="11">
        <v>3</v>
      </c>
      <c r="H40" s="11" t="s">
        <v>50</v>
      </c>
      <c r="I40" s="11" t="s">
        <v>43</v>
      </c>
      <c r="J40" s="11">
        <v>4</v>
      </c>
      <c r="K40" s="11" t="s">
        <v>47</v>
      </c>
      <c r="L40" s="11"/>
      <c r="M40" s="11">
        <v>295.08</v>
      </c>
      <c r="N40" s="11"/>
      <c r="O40" s="11">
        <v>275.76</v>
      </c>
      <c r="P40" s="11">
        <v>1.2632000000000001</v>
      </c>
      <c r="Q40" s="11">
        <v>2.2467999999999999</v>
      </c>
      <c r="R40" s="13">
        <v>3.3155999999999999</v>
      </c>
      <c r="S40" s="11">
        <f t="shared" si="0"/>
        <v>2.0523999999999996</v>
      </c>
      <c r="T40" s="18">
        <f t="shared" si="1"/>
        <v>9.4718378483726564</v>
      </c>
      <c r="U40" s="1"/>
    </row>
    <row r="41" spans="1:21" x14ac:dyDescent="0.2">
      <c r="A41" t="s">
        <v>29</v>
      </c>
      <c r="B41" s="2">
        <v>211</v>
      </c>
      <c r="C41" s="2"/>
      <c r="D41" s="2" t="s">
        <v>51</v>
      </c>
      <c r="E41" s="2" t="s">
        <v>41</v>
      </c>
      <c r="F41" s="2">
        <v>2015</v>
      </c>
      <c r="G41" s="2">
        <v>3</v>
      </c>
      <c r="H41" s="2" t="s">
        <v>50</v>
      </c>
      <c r="I41" s="2" t="s">
        <v>43</v>
      </c>
      <c r="J41" s="3">
        <v>5</v>
      </c>
      <c r="K41" s="2" t="s">
        <v>48</v>
      </c>
      <c r="L41" s="2"/>
      <c r="M41" s="2">
        <v>284.38</v>
      </c>
      <c r="N41" s="2"/>
      <c r="O41" s="2">
        <v>268.02</v>
      </c>
      <c r="P41" s="14">
        <v>1.2698</v>
      </c>
      <c r="Q41" s="2">
        <v>2.1364999999999998</v>
      </c>
      <c r="R41" s="2">
        <v>3.2576000000000001</v>
      </c>
      <c r="S41" s="1">
        <f t="shared" si="0"/>
        <v>1.9878</v>
      </c>
      <c r="T41" s="17">
        <f t="shared" si="1"/>
        <v>7.48063185431129</v>
      </c>
      <c r="U41" s="2"/>
    </row>
    <row r="42" spans="1:21" x14ac:dyDescent="0.2">
      <c r="A42" t="s">
        <v>29</v>
      </c>
      <c r="B42" s="1">
        <v>212</v>
      </c>
      <c r="C42" s="1"/>
      <c r="D42" s="1" t="s">
        <v>52</v>
      </c>
      <c r="E42" s="1" t="s">
        <v>41</v>
      </c>
      <c r="F42" s="1" t="s">
        <v>53</v>
      </c>
      <c r="G42" s="1">
        <v>1</v>
      </c>
      <c r="H42" s="1" t="s">
        <v>42</v>
      </c>
      <c r="I42" s="1" t="s">
        <v>43</v>
      </c>
      <c r="J42" s="1">
        <v>1</v>
      </c>
      <c r="K42" s="1" t="s">
        <v>44</v>
      </c>
      <c r="L42" s="1"/>
      <c r="M42" s="1">
        <v>132.94</v>
      </c>
      <c r="N42" s="1"/>
      <c r="O42" s="1">
        <v>112.72</v>
      </c>
      <c r="P42" s="1">
        <v>1.2582</v>
      </c>
      <c r="Q42" s="1">
        <v>2.8328000000000002</v>
      </c>
      <c r="R42" s="1">
        <v>3.6539000000000001</v>
      </c>
      <c r="S42" s="1">
        <f t="shared" si="0"/>
        <v>2.3957000000000002</v>
      </c>
      <c r="T42" s="17">
        <f t="shared" si="1"/>
        <v>18.24518929749134</v>
      </c>
      <c r="U42" s="1"/>
    </row>
    <row r="43" spans="1:21" x14ac:dyDescent="0.2">
      <c r="A43" t="s">
        <v>29</v>
      </c>
      <c r="B43" s="2">
        <v>213</v>
      </c>
      <c r="C43" s="2"/>
      <c r="D43" s="2" t="s">
        <v>52</v>
      </c>
      <c r="E43" s="2" t="s">
        <v>41</v>
      </c>
      <c r="F43" s="2" t="s">
        <v>53</v>
      </c>
      <c r="G43" s="2">
        <v>1</v>
      </c>
      <c r="H43" s="2" t="s">
        <v>42</v>
      </c>
      <c r="I43" s="2" t="s">
        <v>43</v>
      </c>
      <c r="J43" s="3">
        <v>2</v>
      </c>
      <c r="K43" s="2" t="s">
        <v>45</v>
      </c>
      <c r="L43" s="2"/>
      <c r="M43" s="2">
        <v>142.88999999999999</v>
      </c>
      <c r="N43" s="2"/>
      <c r="O43" s="2">
        <v>125.55</v>
      </c>
      <c r="P43" s="2">
        <v>1.2649999999999999</v>
      </c>
      <c r="Q43" s="2">
        <v>2.2195</v>
      </c>
      <c r="R43" s="2">
        <v>3.1856</v>
      </c>
      <c r="S43" s="1">
        <f t="shared" si="0"/>
        <v>1.9206000000000001</v>
      </c>
      <c r="T43" s="17">
        <f t="shared" si="1"/>
        <v>15.562844944288241</v>
      </c>
      <c r="U43" s="2"/>
    </row>
    <row r="44" spans="1:21" x14ac:dyDescent="0.2">
      <c r="A44" t="s">
        <v>29</v>
      </c>
      <c r="B44" s="1">
        <v>214</v>
      </c>
      <c r="C44" s="1"/>
      <c r="D44" s="1" t="s">
        <v>52</v>
      </c>
      <c r="E44" s="1" t="s">
        <v>41</v>
      </c>
      <c r="F44" s="1" t="s">
        <v>53</v>
      </c>
      <c r="G44" s="1">
        <v>1</v>
      </c>
      <c r="H44" s="1" t="s">
        <v>42</v>
      </c>
      <c r="I44" s="1" t="s">
        <v>43</v>
      </c>
      <c r="J44" s="1">
        <v>3</v>
      </c>
      <c r="K44" s="1" t="s">
        <v>46</v>
      </c>
      <c r="L44" s="1"/>
      <c r="M44" s="1">
        <v>571.20000000000005</v>
      </c>
      <c r="N44" s="1"/>
      <c r="O44" s="1">
        <v>516.69000000000005</v>
      </c>
      <c r="P44" s="1">
        <v>1.2656000000000001</v>
      </c>
      <c r="Q44" s="1">
        <v>2.6983999999999999</v>
      </c>
      <c r="R44" s="1">
        <v>3.5861000000000001</v>
      </c>
      <c r="S44" s="1">
        <f t="shared" ref="S44:S75" si="2">R44-P44</f>
        <v>2.3205</v>
      </c>
      <c r="T44" s="17">
        <f t="shared" ref="T44:T75" si="3">((Q44-S44)/S44)*100</f>
        <v>16.285283344106869</v>
      </c>
      <c r="U44" s="1"/>
    </row>
    <row r="45" spans="1:21" x14ac:dyDescent="0.2">
      <c r="A45" t="s">
        <v>29</v>
      </c>
      <c r="B45" s="2">
        <v>215</v>
      </c>
      <c r="C45" s="2"/>
      <c r="D45" s="2" t="s">
        <v>52</v>
      </c>
      <c r="E45" s="2" t="s">
        <v>41</v>
      </c>
      <c r="F45" s="2" t="s">
        <v>53</v>
      </c>
      <c r="G45" s="2">
        <v>1</v>
      </c>
      <c r="H45" s="2" t="s">
        <v>42</v>
      </c>
      <c r="I45" s="2" t="s">
        <v>43</v>
      </c>
      <c r="J45" s="3">
        <v>4</v>
      </c>
      <c r="K45" s="2" t="s">
        <v>47</v>
      </c>
      <c r="L45" s="2"/>
      <c r="M45" s="2">
        <v>428.49</v>
      </c>
      <c r="N45" s="2"/>
      <c r="O45" s="2">
        <v>388.46</v>
      </c>
      <c r="P45" s="2">
        <v>1.2589999999999999</v>
      </c>
      <c r="Q45" s="14">
        <v>2.6677</v>
      </c>
      <c r="R45" s="2">
        <v>3.5968</v>
      </c>
      <c r="S45" s="1">
        <f t="shared" si="2"/>
        <v>2.3378000000000001</v>
      </c>
      <c r="T45" s="17">
        <f t="shared" si="3"/>
        <v>14.111557874925138</v>
      </c>
      <c r="U45" s="2"/>
    </row>
    <row r="46" spans="1:21" x14ac:dyDescent="0.2">
      <c r="A46" t="s">
        <v>29</v>
      </c>
      <c r="B46" s="1">
        <v>216</v>
      </c>
      <c r="C46" s="1"/>
      <c r="D46" s="1" t="s">
        <v>52</v>
      </c>
      <c r="E46" s="1" t="s">
        <v>41</v>
      </c>
      <c r="F46" s="1" t="s">
        <v>53</v>
      </c>
      <c r="G46" s="1">
        <v>1</v>
      </c>
      <c r="H46" s="1" t="s">
        <v>42</v>
      </c>
      <c r="I46" s="1" t="s">
        <v>43</v>
      </c>
      <c r="J46" s="1">
        <v>5</v>
      </c>
      <c r="K46" s="1" t="s">
        <v>48</v>
      </c>
      <c r="L46" s="1"/>
      <c r="M46" s="1">
        <v>413.62</v>
      </c>
      <c r="N46" s="1"/>
      <c r="O46" s="1">
        <v>378.86</v>
      </c>
      <c r="P46" s="1">
        <v>1.2591000000000001</v>
      </c>
      <c r="Q46" s="1">
        <v>2.7618</v>
      </c>
      <c r="R46" s="1">
        <v>3.6248999999999998</v>
      </c>
      <c r="S46" s="1">
        <f t="shared" si="2"/>
        <v>2.3657999999999997</v>
      </c>
      <c r="T46" s="17">
        <f t="shared" si="3"/>
        <v>16.738523966522969</v>
      </c>
      <c r="U46" s="1"/>
    </row>
    <row r="47" spans="1:21" x14ac:dyDescent="0.2">
      <c r="A47" t="s">
        <v>29</v>
      </c>
      <c r="B47" s="2">
        <v>217</v>
      </c>
      <c r="C47" s="2"/>
      <c r="D47" s="2" t="s">
        <v>52</v>
      </c>
      <c r="E47" s="2" t="s">
        <v>41</v>
      </c>
      <c r="F47" s="2" t="s">
        <v>53</v>
      </c>
      <c r="G47" s="2">
        <v>2</v>
      </c>
      <c r="H47" s="2" t="s">
        <v>49</v>
      </c>
      <c r="I47" s="2" t="s">
        <v>43</v>
      </c>
      <c r="J47" s="3">
        <v>1</v>
      </c>
      <c r="K47" s="2" t="s">
        <v>44</v>
      </c>
      <c r="L47" s="2"/>
      <c r="M47" s="2">
        <v>100.71</v>
      </c>
      <c r="N47" s="2"/>
      <c r="O47" s="2">
        <v>96.34</v>
      </c>
      <c r="P47" s="2">
        <v>1.2587999999999999</v>
      </c>
      <c r="Q47" s="2">
        <v>2.0829</v>
      </c>
      <c r="R47" s="2">
        <v>3.2841</v>
      </c>
      <c r="S47" s="1">
        <f t="shared" si="2"/>
        <v>2.0253000000000001</v>
      </c>
      <c r="T47" s="17">
        <f t="shared" si="3"/>
        <v>2.8440231076877436</v>
      </c>
      <c r="U47" s="2"/>
    </row>
    <row r="48" spans="1:21" x14ac:dyDescent="0.2">
      <c r="A48" t="s">
        <v>29</v>
      </c>
      <c r="B48" s="1">
        <v>218</v>
      </c>
      <c r="C48" s="1"/>
      <c r="D48" s="1" t="s">
        <v>52</v>
      </c>
      <c r="E48" s="1" t="s">
        <v>41</v>
      </c>
      <c r="F48" s="1" t="s">
        <v>53</v>
      </c>
      <c r="G48" s="1">
        <v>2</v>
      </c>
      <c r="H48" s="1" t="s">
        <v>49</v>
      </c>
      <c r="I48" s="1" t="s">
        <v>43</v>
      </c>
      <c r="J48" s="1">
        <v>2</v>
      </c>
      <c r="K48" s="1" t="s">
        <v>45</v>
      </c>
      <c r="L48" s="1"/>
      <c r="M48" s="1">
        <v>139.6</v>
      </c>
      <c r="N48" s="1"/>
      <c r="O48" s="1">
        <v>129.09</v>
      </c>
      <c r="P48" s="1">
        <v>1.2606999999999999</v>
      </c>
      <c r="Q48" s="1">
        <v>2.4127000000000001</v>
      </c>
      <c r="R48" s="1">
        <v>3.5143</v>
      </c>
      <c r="S48" s="1">
        <f t="shared" si="2"/>
        <v>2.2536</v>
      </c>
      <c r="T48" s="17">
        <f t="shared" si="3"/>
        <v>7.0598154064607748</v>
      </c>
      <c r="U48" s="1"/>
    </row>
    <row r="49" spans="1:21" x14ac:dyDescent="0.2">
      <c r="A49" t="s">
        <v>29</v>
      </c>
      <c r="B49" s="2">
        <v>219</v>
      </c>
      <c r="C49" s="2"/>
      <c r="D49" s="2" t="s">
        <v>52</v>
      </c>
      <c r="E49" s="2" t="s">
        <v>41</v>
      </c>
      <c r="F49" s="2" t="s">
        <v>53</v>
      </c>
      <c r="G49" s="2">
        <v>2</v>
      </c>
      <c r="H49" s="2" t="s">
        <v>49</v>
      </c>
      <c r="I49" s="2" t="s">
        <v>43</v>
      </c>
      <c r="J49" s="3">
        <v>3</v>
      </c>
      <c r="K49" s="2" t="s">
        <v>46</v>
      </c>
      <c r="L49" s="2"/>
      <c r="M49" s="2">
        <v>451.54</v>
      </c>
      <c r="N49" s="2"/>
      <c r="O49" s="2">
        <v>109.47</v>
      </c>
      <c r="P49" s="2">
        <v>1.2625</v>
      </c>
      <c r="Q49" s="2">
        <v>2.2942</v>
      </c>
      <c r="R49" s="2">
        <v>3.2501000000000002</v>
      </c>
      <c r="S49" s="1">
        <f t="shared" si="2"/>
        <v>1.9876000000000003</v>
      </c>
      <c r="T49" s="17">
        <f t="shared" si="3"/>
        <v>15.425638961561669</v>
      </c>
      <c r="U49" s="2"/>
    </row>
    <row r="50" spans="1:21" x14ac:dyDescent="0.2">
      <c r="A50" t="s">
        <v>29</v>
      </c>
      <c r="B50" s="1">
        <v>220</v>
      </c>
      <c r="C50" s="1"/>
      <c r="D50" s="1" t="s">
        <v>52</v>
      </c>
      <c r="E50" s="1" t="s">
        <v>41</v>
      </c>
      <c r="F50" s="1" t="s">
        <v>53</v>
      </c>
      <c r="G50" s="1">
        <v>2</v>
      </c>
      <c r="H50" s="1" t="s">
        <v>49</v>
      </c>
      <c r="I50" s="1" t="s">
        <v>43</v>
      </c>
      <c r="J50" s="1">
        <v>4</v>
      </c>
      <c r="K50" s="1" t="s">
        <v>47</v>
      </c>
      <c r="L50" s="1"/>
      <c r="M50" s="1">
        <v>357.77</v>
      </c>
      <c r="N50" s="1"/>
      <c r="O50" s="1">
        <v>323.57</v>
      </c>
      <c r="P50" s="1">
        <v>1.2657</v>
      </c>
      <c r="Q50" s="1">
        <v>2.0175999999999998</v>
      </c>
      <c r="R50" s="1">
        <v>2.9809999999999999</v>
      </c>
      <c r="S50" s="1">
        <f t="shared" si="2"/>
        <v>1.7152999999999998</v>
      </c>
      <c r="T50" s="17">
        <f t="shared" si="3"/>
        <v>17.62373928758818</v>
      </c>
      <c r="U50" s="1"/>
    </row>
    <row r="51" spans="1:21" x14ac:dyDescent="0.2">
      <c r="A51" t="s">
        <v>29</v>
      </c>
      <c r="B51" s="11">
        <v>221</v>
      </c>
      <c r="C51" s="2"/>
      <c r="D51" s="2" t="s">
        <v>52</v>
      </c>
      <c r="E51" s="2" t="s">
        <v>41</v>
      </c>
      <c r="F51" s="2" t="s">
        <v>53</v>
      </c>
      <c r="G51" s="2">
        <v>2</v>
      </c>
      <c r="H51" s="2" t="s">
        <v>49</v>
      </c>
      <c r="I51" s="2" t="s">
        <v>43</v>
      </c>
      <c r="J51" s="3">
        <v>5</v>
      </c>
      <c r="K51" s="2" t="s">
        <v>48</v>
      </c>
      <c r="L51" s="2"/>
      <c r="M51" s="2">
        <v>328.51</v>
      </c>
      <c r="N51" s="2"/>
      <c r="O51" s="2">
        <v>297.26</v>
      </c>
      <c r="P51" s="2">
        <v>1.2653000000000001</v>
      </c>
      <c r="Q51" s="2">
        <v>2.5306999999999999</v>
      </c>
      <c r="R51" s="10">
        <v>3.4561000000000002</v>
      </c>
      <c r="S51" s="1">
        <f t="shared" si="2"/>
        <v>2.1908000000000003</v>
      </c>
      <c r="T51" s="17">
        <f t="shared" si="3"/>
        <v>15.514880408983</v>
      </c>
      <c r="U51" s="2"/>
    </row>
    <row r="52" spans="1:21" x14ac:dyDescent="0.2">
      <c r="A52" t="s">
        <v>29</v>
      </c>
      <c r="B52" s="1">
        <v>222</v>
      </c>
      <c r="C52" s="1"/>
      <c r="D52" s="1" t="s">
        <v>52</v>
      </c>
      <c r="E52" s="1" t="s">
        <v>41</v>
      </c>
      <c r="F52" s="1" t="s">
        <v>53</v>
      </c>
      <c r="G52" s="1">
        <v>3</v>
      </c>
      <c r="H52" s="1" t="s">
        <v>50</v>
      </c>
      <c r="I52" s="1" t="s">
        <v>43</v>
      </c>
      <c r="J52" s="1">
        <v>1</v>
      </c>
      <c r="K52" s="1" t="s">
        <v>44</v>
      </c>
      <c r="L52" s="1"/>
      <c r="M52" s="1">
        <v>141.01</v>
      </c>
      <c r="N52" s="1"/>
      <c r="O52" s="1">
        <v>133.37</v>
      </c>
      <c r="P52" s="1">
        <v>1.2609999999999999</v>
      </c>
      <c r="Q52" s="1">
        <v>2.1608999999999998</v>
      </c>
      <c r="R52" s="1">
        <v>3.3071000000000002</v>
      </c>
      <c r="S52" s="1">
        <f t="shared" si="2"/>
        <v>2.0461</v>
      </c>
      <c r="T52" s="17">
        <f t="shared" si="3"/>
        <v>5.6106739651043345</v>
      </c>
      <c r="U52" s="1"/>
    </row>
    <row r="53" spans="1:21" x14ac:dyDescent="0.2">
      <c r="A53" t="s">
        <v>29</v>
      </c>
      <c r="B53" s="2">
        <v>223</v>
      </c>
      <c r="C53" s="2"/>
      <c r="D53" s="2" t="s">
        <v>52</v>
      </c>
      <c r="E53" s="2" t="s">
        <v>41</v>
      </c>
      <c r="F53" s="2" t="s">
        <v>53</v>
      </c>
      <c r="G53" s="2">
        <v>3</v>
      </c>
      <c r="H53" s="2" t="s">
        <v>50</v>
      </c>
      <c r="I53" s="2" t="s">
        <v>43</v>
      </c>
      <c r="J53" s="3">
        <v>2</v>
      </c>
      <c r="K53" s="2" t="s">
        <v>45</v>
      </c>
      <c r="L53" s="2"/>
      <c r="M53" s="2">
        <v>132.78</v>
      </c>
      <c r="N53" s="2"/>
      <c r="O53" s="2">
        <v>120.53</v>
      </c>
      <c r="P53" s="2">
        <v>1.2670999999999999</v>
      </c>
      <c r="Q53" s="2">
        <v>2.5436999999999999</v>
      </c>
      <c r="R53" s="2">
        <v>3.5869</v>
      </c>
      <c r="S53" s="1">
        <f t="shared" si="2"/>
        <v>2.3197999999999999</v>
      </c>
      <c r="T53" s="17">
        <f t="shared" si="3"/>
        <v>9.6516941115613424</v>
      </c>
      <c r="U53" s="2"/>
    </row>
    <row r="54" spans="1:21" x14ac:dyDescent="0.2">
      <c r="A54" t="s">
        <v>29</v>
      </c>
      <c r="B54" s="1">
        <v>224</v>
      </c>
      <c r="C54" s="1"/>
      <c r="D54" s="1" t="s">
        <v>52</v>
      </c>
      <c r="E54" s="1" t="s">
        <v>41</v>
      </c>
      <c r="F54" s="1" t="s">
        <v>53</v>
      </c>
      <c r="G54" s="1">
        <v>3</v>
      </c>
      <c r="H54" s="1" t="s">
        <v>50</v>
      </c>
      <c r="I54" s="1" t="s">
        <v>43</v>
      </c>
      <c r="J54" s="1">
        <v>3</v>
      </c>
      <c r="K54" s="1" t="s">
        <v>46</v>
      </c>
      <c r="L54" s="1"/>
      <c r="M54" s="1">
        <v>450.77</v>
      </c>
      <c r="N54" s="1"/>
      <c r="O54" s="1">
        <v>407.77</v>
      </c>
      <c r="P54" s="1">
        <v>1.2594000000000001</v>
      </c>
      <c r="Q54" s="1">
        <v>2.1162000000000001</v>
      </c>
      <c r="R54" s="1">
        <v>3.1101000000000001</v>
      </c>
      <c r="S54" s="1">
        <f t="shared" si="2"/>
        <v>1.8507</v>
      </c>
      <c r="T54" s="17">
        <f t="shared" si="3"/>
        <v>14.345923164208141</v>
      </c>
      <c r="U54" s="1"/>
    </row>
    <row r="55" spans="1:21" x14ac:dyDescent="0.2">
      <c r="A55" t="s">
        <v>29</v>
      </c>
      <c r="B55" s="2">
        <v>225</v>
      </c>
      <c r="C55" s="2"/>
      <c r="D55" s="2" t="s">
        <v>52</v>
      </c>
      <c r="E55" s="2" t="s">
        <v>41</v>
      </c>
      <c r="F55" s="2" t="s">
        <v>53</v>
      </c>
      <c r="G55" s="2">
        <v>3</v>
      </c>
      <c r="H55" s="2" t="s">
        <v>50</v>
      </c>
      <c r="I55" s="2" t="s">
        <v>43</v>
      </c>
      <c r="J55" s="3">
        <v>4</v>
      </c>
      <c r="K55" s="2" t="s">
        <v>47</v>
      </c>
      <c r="L55" s="2"/>
      <c r="M55" s="2">
        <v>388.56</v>
      </c>
      <c r="N55" s="2"/>
      <c r="O55" s="2">
        <v>352.54</v>
      </c>
      <c r="P55" s="2">
        <v>1.2667999999999999</v>
      </c>
      <c r="Q55" s="2">
        <v>2.1101999999999999</v>
      </c>
      <c r="R55" s="2">
        <v>3.0903999999999998</v>
      </c>
      <c r="S55" s="1">
        <f t="shared" si="2"/>
        <v>1.8235999999999999</v>
      </c>
      <c r="T55" s="17">
        <f t="shared" si="3"/>
        <v>15.716165825838999</v>
      </c>
      <c r="U55" s="2"/>
    </row>
    <row r="56" spans="1:21" x14ac:dyDescent="0.2">
      <c r="A56" t="s">
        <v>29</v>
      </c>
      <c r="B56" s="1">
        <v>226</v>
      </c>
      <c r="C56" s="1"/>
      <c r="D56" s="1" t="s">
        <v>52</v>
      </c>
      <c r="E56" s="1" t="s">
        <v>41</v>
      </c>
      <c r="F56" s="1" t="s">
        <v>53</v>
      </c>
      <c r="G56" s="1">
        <v>3</v>
      </c>
      <c r="H56" s="1" t="s">
        <v>50</v>
      </c>
      <c r="I56" s="1" t="s">
        <v>43</v>
      </c>
      <c r="J56" s="1">
        <v>5</v>
      </c>
      <c r="K56" s="1" t="s">
        <v>48</v>
      </c>
      <c r="L56" s="1"/>
      <c r="M56" s="1">
        <v>404.68</v>
      </c>
      <c r="N56" s="1"/>
      <c r="O56" s="1">
        <v>366.7</v>
      </c>
      <c r="P56" s="1">
        <v>1.2606999999999999</v>
      </c>
      <c r="Q56" s="1">
        <v>2.2947000000000002</v>
      </c>
      <c r="R56" s="1">
        <v>3.2222</v>
      </c>
      <c r="S56" s="1">
        <f t="shared" si="2"/>
        <v>1.9615</v>
      </c>
      <c r="T56" s="17">
        <f t="shared" si="3"/>
        <v>16.986999745093048</v>
      </c>
      <c r="U56" s="1"/>
    </row>
    <row r="57" spans="1:21" x14ac:dyDescent="0.2">
      <c r="A57" t="s">
        <v>29</v>
      </c>
      <c r="B57" s="2">
        <v>227</v>
      </c>
      <c r="C57" s="2"/>
      <c r="D57" s="2" t="s">
        <v>54</v>
      </c>
      <c r="E57" s="2" t="s">
        <v>41</v>
      </c>
      <c r="F57" s="2">
        <v>2022</v>
      </c>
      <c r="G57" s="2">
        <v>1</v>
      </c>
      <c r="H57" s="2" t="s">
        <v>42</v>
      </c>
      <c r="I57" s="2" t="s">
        <v>43</v>
      </c>
      <c r="J57" s="3">
        <v>1</v>
      </c>
      <c r="K57" s="2" t="s">
        <v>44</v>
      </c>
      <c r="L57" s="2"/>
      <c r="M57" s="2">
        <v>83.05</v>
      </c>
      <c r="N57" s="2"/>
      <c r="O57" s="2">
        <v>82.72</v>
      </c>
      <c r="P57" s="2">
        <v>1.2730999999999999</v>
      </c>
      <c r="Q57" s="2">
        <v>2.5356999999999998</v>
      </c>
      <c r="R57" s="2">
        <v>3.7029000000000001</v>
      </c>
      <c r="S57" s="1">
        <f t="shared" si="2"/>
        <v>2.4298000000000002</v>
      </c>
      <c r="T57" s="17">
        <f t="shared" si="3"/>
        <v>4.3583834060416358</v>
      </c>
      <c r="U57" s="2"/>
    </row>
    <row r="58" spans="1:21" x14ac:dyDescent="0.2">
      <c r="A58" t="s">
        <v>29</v>
      </c>
      <c r="B58" s="1">
        <v>228</v>
      </c>
      <c r="C58" s="1"/>
      <c r="D58" s="1" t="s">
        <v>54</v>
      </c>
      <c r="E58" s="1" t="s">
        <v>41</v>
      </c>
      <c r="F58" s="1">
        <v>2022</v>
      </c>
      <c r="G58" s="1">
        <v>1</v>
      </c>
      <c r="H58" s="1" t="s">
        <v>42</v>
      </c>
      <c r="I58" s="1" t="s">
        <v>43</v>
      </c>
      <c r="J58" s="1">
        <v>2</v>
      </c>
      <c r="K58" s="1" t="s">
        <v>45</v>
      </c>
      <c r="L58" s="1"/>
      <c r="M58" s="1">
        <v>77.94</v>
      </c>
      <c r="N58" s="1"/>
      <c r="O58" s="1">
        <v>76.75</v>
      </c>
      <c r="P58" s="1">
        <v>1.2747999999999999</v>
      </c>
      <c r="Q58" s="1">
        <v>2.1305999999999998</v>
      </c>
      <c r="R58" s="1">
        <v>3.2517</v>
      </c>
      <c r="S58" s="1">
        <f t="shared" si="2"/>
        <v>1.9769000000000001</v>
      </c>
      <c r="T58" s="17">
        <f t="shared" si="3"/>
        <v>7.7747989276139267</v>
      </c>
      <c r="U58" s="1"/>
    </row>
    <row r="59" spans="1:21" x14ac:dyDescent="0.2">
      <c r="A59" t="s">
        <v>29</v>
      </c>
      <c r="B59" s="2">
        <v>229</v>
      </c>
      <c r="C59" s="2"/>
      <c r="D59" s="2" t="s">
        <v>54</v>
      </c>
      <c r="E59" s="2" t="s">
        <v>41</v>
      </c>
      <c r="F59" s="2">
        <v>2022</v>
      </c>
      <c r="G59" s="2">
        <v>1</v>
      </c>
      <c r="H59" s="2" t="s">
        <v>42</v>
      </c>
      <c r="I59" s="2" t="s">
        <v>43</v>
      </c>
      <c r="J59" s="3">
        <v>3</v>
      </c>
      <c r="K59" s="2" t="s">
        <v>46</v>
      </c>
      <c r="L59" s="2"/>
      <c r="M59" s="2">
        <v>262.75</v>
      </c>
      <c r="N59" s="2"/>
      <c r="O59" s="2">
        <v>257.48</v>
      </c>
      <c r="P59" s="2">
        <v>1.2768999999999999</v>
      </c>
      <c r="Q59" s="2">
        <v>2.0230999999999999</v>
      </c>
      <c r="R59" s="2">
        <v>3.1448999999999998</v>
      </c>
      <c r="S59" s="1">
        <f t="shared" si="2"/>
        <v>1.8679999999999999</v>
      </c>
      <c r="T59" s="17">
        <f t="shared" si="3"/>
        <v>8.3029978586723789</v>
      </c>
      <c r="U59" s="2"/>
    </row>
    <row r="60" spans="1:21" x14ac:dyDescent="0.2">
      <c r="A60" t="s">
        <v>29</v>
      </c>
      <c r="B60" s="1">
        <v>230</v>
      </c>
      <c r="C60" s="1"/>
      <c r="D60" s="1" t="s">
        <v>54</v>
      </c>
      <c r="E60" s="1" t="s">
        <v>41</v>
      </c>
      <c r="F60" s="1">
        <v>2022</v>
      </c>
      <c r="G60" s="1">
        <v>1</v>
      </c>
      <c r="H60" s="1" t="s">
        <v>42</v>
      </c>
      <c r="I60" s="1" t="s">
        <v>43</v>
      </c>
      <c r="J60" s="1">
        <v>4</v>
      </c>
      <c r="K60" s="1" t="s">
        <v>47</v>
      </c>
      <c r="L60" s="1"/>
      <c r="M60" s="1">
        <v>265.85000000000002</v>
      </c>
      <c r="N60" s="1"/>
      <c r="O60" s="1">
        <v>259.48</v>
      </c>
      <c r="P60" s="1">
        <v>1.2573000000000001</v>
      </c>
      <c r="Q60" s="1">
        <v>2.6762999999999999</v>
      </c>
      <c r="R60" s="1">
        <v>3.6699000000000002</v>
      </c>
      <c r="S60" s="1">
        <f t="shared" si="2"/>
        <v>2.4126000000000003</v>
      </c>
      <c r="T60" s="17">
        <f t="shared" si="3"/>
        <v>10.930116886346662</v>
      </c>
      <c r="U60" s="1"/>
    </row>
    <row r="61" spans="1:21" x14ac:dyDescent="0.2">
      <c r="A61" t="s">
        <v>29</v>
      </c>
      <c r="B61" s="2">
        <v>231</v>
      </c>
      <c r="C61" s="2"/>
      <c r="D61" s="2" t="s">
        <v>54</v>
      </c>
      <c r="E61" s="2" t="s">
        <v>41</v>
      </c>
      <c r="F61" s="2">
        <v>2022</v>
      </c>
      <c r="G61" s="2">
        <v>1</v>
      </c>
      <c r="H61" s="2" t="s">
        <v>42</v>
      </c>
      <c r="I61" s="2" t="s">
        <v>43</v>
      </c>
      <c r="J61" s="3">
        <v>5</v>
      </c>
      <c r="K61" s="2" t="s">
        <v>48</v>
      </c>
      <c r="L61" s="2"/>
      <c r="M61" s="2">
        <v>154.55000000000001</v>
      </c>
      <c r="N61" s="2"/>
      <c r="O61" s="2">
        <v>150.55000000000001</v>
      </c>
      <c r="P61" s="2">
        <v>1.2678</v>
      </c>
      <c r="Q61" s="2">
        <v>2.1629</v>
      </c>
      <c r="R61" s="2">
        <v>3.2181000000000002</v>
      </c>
      <c r="S61" s="1">
        <f t="shared" si="2"/>
        <v>1.9503000000000001</v>
      </c>
      <c r="T61" s="17">
        <f t="shared" si="3"/>
        <v>10.900887043019017</v>
      </c>
      <c r="U61" s="2"/>
    </row>
    <row r="62" spans="1:21" x14ac:dyDescent="0.2">
      <c r="A62" t="s">
        <v>29</v>
      </c>
      <c r="B62" s="1">
        <v>232</v>
      </c>
      <c r="C62" s="1"/>
      <c r="D62" s="1" t="s">
        <v>54</v>
      </c>
      <c r="E62" s="1" t="s">
        <v>41</v>
      </c>
      <c r="F62" s="1">
        <v>2022</v>
      </c>
      <c r="G62" s="1">
        <v>2</v>
      </c>
      <c r="H62" s="1" t="s">
        <v>49</v>
      </c>
      <c r="I62" s="1" t="s">
        <v>43</v>
      </c>
      <c r="J62" s="1">
        <v>1</v>
      </c>
      <c r="K62" s="1" t="s">
        <v>44</v>
      </c>
      <c r="L62" s="1"/>
      <c r="M62" s="1">
        <v>118.11</v>
      </c>
      <c r="N62" s="1"/>
      <c r="O62" s="1">
        <v>110.46</v>
      </c>
      <c r="P62" s="1">
        <v>1.2643</v>
      </c>
      <c r="Q62" s="1">
        <v>2.4390000000000001</v>
      </c>
      <c r="R62" s="1">
        <v>3.3552</v>
      </c>
      <c r="S62" s="1">
        <f t="shared" si="2"/>
        <v>2.0909</v>
      </c>
      <c r="T62" s="17">
        <f t="shared" si="3"/>
        <v>16.648333253622845</v>
      </c>
      <c r="U62" s="1"/>
    </row>
    <row r="63" spans="1:21" x14ac:dyDescent="0.2">
      <c r="A63" t="s">
        <v>29</v>
      </c>
      <c r="B63" s="2">
        <v>233</v>
      </c>
      <c r="C63" s="2"/>
      <c r="D63" s="2" t="s">
        <v>54</v>
      </c>
      <c r="E63" s="2" t="s">
        <v>41</v>
      </c>
      <c r="F63" s="2">
        <v>2022</v>
      </c>
      <c r="G63" s="2">
        <v>2</v>
      </c>
      <c r="H63" s="2" t="s">
        <v>49</v>
      </c>
      <c r="I63" s="2" t="s">
        <v>43</v>
      </c>
      <c r="J63" s="3">
        <v>2</v>
      </c>
      <c r="K63" s="2" t="s">
        <v>45</v>
      </c>
      <c r="L63" s="2"/>
      <c r="M63" s="2">
        <v>119.8</v>
      </c>
      <c r="N63" s="2"/>
      <c r="O63" s="2">
        <v>113.89</v>
      </c>
      <c r="P63" s="2">
        <v>1.2830999999999999</v>
      </c>
      <c r="Q63" s="2">
        <v>2.1819999999999999</v>
      </c>
      <c r="R63" s="2">
        <v>3.101</v>
      </c>
      <c r="S63" s="1">
        <f t="shared" si="2"/>
        <v>1.8179000000000001</v>
      </c>
      <c r="T63" s="17">
        <f t="shared" si="3"/>
        <v>20.028604433687214</v>
      </c>
      <c r="U63" s="2"/>
    </row>
    <row r="64" spans="1:21" x14ac:dyDescent="0.2">
      <c r="A64" t="s">
        <v>29</v>
      </c>
      <c r="B64" s="1">
        <v>234</v>
      </c>
      <c r="C64" s="1"/>
      <c r="D64" s="1" t="s">
        <v>54</v>
      </c>
      <c r="E64" s="1" t="s">
        <v>41</v>
      </c>
      <c r="F64" s="1">
        <v>2022</v>
      </c>
      <c r="G64" s="1">
        <v>2</v>
      </c>
      <c r="H64" s="1" t="s">
        <v>49</v>
      </c>
      <c r="I64" s="1" t="s">
        <v>43</v>
      </c>
      <c r="J64" s="1">
        <v>3</v>
      </c>
      <c r="K64" s="1" t="s">
        <v>46</v>
      </c>
      <c r="L64" s="1"/>
      <c r="M64" s="1">
        <v>345.13</v>
      </c>
      <c r="N64" s="1"/>
      <c r="O64" s="1">
        <v>331.05</v>
      </c>
      <c r="P64" s="1">
        <v>1.2667999999999999</v>
      </c>
      <c r="Q64" s="1">
        <v>2.1017999999999999</v>
      </c>
      <c r="R64" s="1">
        <v>3.0354000000000001</v>
      </c>
      <c r="S64" s="1">
        <f t="shared" si="2"/>
        <v>1.7686000000000002</v>
      </c>
      <c r="T64" s="17">
        <f t="shared" si="3"/>
        <v>18.839760262354389</v>
      </c>
      <c r="U64" s="1"/>
    </row>
    <row r="65" spans="1:21" x14ac:dyDescent="0.2">
      <c r="A65" t="s">
        <v>29</v>
      </c>
      <c r="B65" s="2">
        <v>235</v>
      </c>
      <c r="C65" s="2"/>
      <c r="D65" s="2" t="s">
        <v>54</v>
      </c>
      <c r="E65" s="2" t="s">
        <v>41</v>
      </c>
      <c r="F65" s="2">
        <v>2022</v>
      </c>
      <c r="G65" s="2">
        <v>2</v>
      </c>
      <c r="H65" s="2" t="s">
        <v>49</v>
      </c>
      <c r="I65" s="2" t="s">
        <v>43</v>
      </c>
      <c r="J65" s="3">
        <v>4</v>
      </c>
      <c r="K65" s="2" t="s">
        <v>47</v>
      </c>
      <c r="L65" s="2"/>
      <c r="M65" s="2">
        <v>299.66000000000003</v>
      </c>
      <c r="N65" s="2"/>
      <c r="O65" s="2">
        <v>289.07</v>
      </c>
      <c r="P65" s="2">
        <v>1.2666999999999999</v>
      </c>
      <c r="Q65" s="2">
        <v>2.38</v>
      </c>
      <c r="R65" s="2">
        <v>3.3910999999999998</v>
      </c>
      <c r="S65" s="1">
        <f t="shared" si="2"/>
        <v>2.1243999999999996</v>
      </c>
      <c r="T65" s="17">
        <f t="shared" si="3"/>
        <v>12.03163246093016</v>
      </c>
      <c r="U65" s="2"/>
    </row>
    <row r="66" spans="1:21" x14ac:dyDescent="0.2">
      <c r="A66" t="s">
        <v>29</v>
      </c>
      <c r="B66" s="1">
        <v>236</v>
      </c>
      <c r="C66" s="1"/>
      <c r="D66" s="1" t="s">
        <v>54</v>
      </c>
      <c r="E66" s="1" t="s">
        <v>41</v>
      </c>
      <c r="F66" s="1">
        <v>2022</v>
      </c>
      <c r="G66" s="1">
        <v>2</v>
      </c>
      <c r="H66" s="1" t="s">
        <v>49</v>
      </c>
      <c r="I66" s="1" t="s">
        <v>43</v>
      </c>
      <c r="J66" s="1">
        <v>5</v>
      </c>
      <c r="K66" s="1" t="s">
        <v>48</v>
      </c>
      <c r="L66" s="1"/>
      <c r="M66" s="1">
        <v>314.85000000000002</v>
      </c>
      <c r="N66" s="1"/>
      <c r="O66" s="1">
        <v>306.13</v>
      </c>
      <c r="P66" s="1">
        <v>1.2771999999999999</v>
      </c>
      <c r="Q66" s="1">
        <v>2.0798999999999999</v>
      </c>
      <c r="R66" s="1">
        <v>3.1444000000000001</v>
      </c>
      <c r="S66" s="1">
        <f t="shared" si="2"/>
        <v>1.8672000000000002</v>
      </c>
      <c r="T66" s="17">
        <f t="shared" si="3"/>
        <v>11.391388174807179</v>
      </c>
      <c r="U66" s="1"/>
    </row>
    <row r="67" spans="1:21" x14ac:dyDescent="0.2">
      <c r="A67" t="s">
        <v>29</v>
      </c>
      <c r="B67" s="2">
        <v>237</v>
      </c>
      <c r="C67" s="2"/>
      <c r="D67" s="2" t="s">
        <v>54</v>
      </c>
      <c r="E67" s="2" t="s">
        <v>41</v>
      </c>
      <c r="F67" s="2">
        <v>2022</v>
      </c>
      <c r="G67" s="2">
        <v>3</v>
      </c>
      <c r="H67" s="2" t="s">
        <v>50</v>
      </c>
      <c r="I67" s="2" t="s">
        <v>43</v>
      </c>
      <c r="J67" s="3">
        <v>1</v>
      </c>
      <c r="K67" s="2" t="s">
        <v>44</v>
      </c>
      <c r="L67" s="2"/>
      <c r="M67" s="2">
        <v>90.45</v>
      </c>
      <c r="N67" s="2"/>
      <c r="O67" s="2">
        <v>89.57</v>
      </c>
      <c r="P67" s="2">
        <v>1.2634000000000001</v>
      </c>
      <c r="Q67" s="2">
        <v>2.6156999999999999</v>
      </c>
      <c r="R67" s="2">
        <v>3.7040999999999999</v>
      </c>
      <c r="S67" s="1">
        <f t="shared" si="2"/>
        <v>2.4406999999999996</v>
      </c>
      <c r="T67" s="17">
        <f t="shared" si="3"/>
        <v>7.170074159052743</v>
      </c>
      <c r="U67" s="2"/>
    </row>
    <row r="68" spans="1:21" x14ac:dyDescent="0.2">
      <c r="A68" t="s">
        <v>29</v>
      </c>
      <c r="B68" s="1">
        <v>238</v>
      </c>
      <c r="C68" s="1"/>
      <c r="D68" s="1" t="s">
        <v>54</v>
      </c>
      <c r="E68" s="1" t="s">
        <v>41</v>
      </c>
      <c r="F68" s="1">
        <v>2022</v>
      </c>
      <c r="G68" s="1">
        <v>3</v>
      </c>
      <c r="H68" s="1" t="s">
        <v>50</v>
      </c>
      <c r="I68" s="1" t="s">
        <v>43</v>
      </c>
      <c r="J68" s="1">
        <v>2</v>
      </c>
      <c r="K68" s="1" t="s">
        <v>45</v>
      </c>
      <c r="L68" s="1"/>
      <c r="M68" s="1">
        <v>115.58</v>
      </c>
      <c r="N68" s="1"/>
      <c r="O68" s="1">
        <v>113.57</v>
      </c>
      <c r="P68" s="1">
        <v>1.2706999999999999</v>
      </c>
      <c r="Q68" s="1">
        <v>2.7256999999999998</v>
      </c>
      <c r="R68" s="1">
        <v>3.7635999999999998</v>
      </c>
      <c r="S68" s="1">
        <f t="shared" si="2"/>
        <v>2.4928999999999997</v>
      </c>
      <c r="T68" s="17">
        <f t="shared" si="3"/>
        <v>9.338521400778216</v>
      </c>
      <c r="U68" s="1"/>
    </row>
    <row r="69" spans="1:21" x14ac:dyDescent="0.2">
      <c r="A69" t="s">
        <v>29</v>
      </c>
      <c r="B69" s="11">
        <v>239</v>
      </c>
      <c r="C69" s="11"/>
      <c r="D69" s="11" t="s">
        <v>54</v>
      </c>
      <c r="E69" s="11" t="s">
        <v>41</v>
      </c>
      <c r="F69" s="11">
        <v>2022</v>
      </c>
      <c r="G69" s="11">
        <v>3</v>
      </c>
      <c r="H69" s="11" t="s">
        <v>50</v>
      </c>
      <c r="I69" s="11" t="s">
        <v>43</v>
      </c>
      <c r="J69" s="12">
        <v>3</v>
      </c>
      <c r="K69" s="11" t="s">
        <v>46</v>
      </c>
      <c r="L69" s="11"/>
      <c r="M69" s="11">
        <v>379.14</v>
      </c>
      <c r="N69" s="11"/>
      <c r="O69" s="11">
        <v>373.25</v>
      </c>
      <c r="P69" s="11">
        <v>1.2661</v>
      </c>
      <c r="Q69" s="11">
        <v>2.1781000000000001</v>
      </c>
      <c r="R69" s="13">
        <v>3.2370999999999999</v>
      </c>
      <c r="S69" s="11">
        <f t="shared" si="2"/>
        <v>1.9709999999999999</v>
      </c>
      <c r="T69" s="18">
        <f t="shared" si="3"/>
        <v>10.507356671740249</v>
      </c>
      <c r="U69" s="2"/>
    </row>
    <row r="70" spans="1:21" x14ac:dyDescent="0.2">
      <c r="A70" t="s">
        <v>29</v>
      </c>
      <c r="B70" s="1">
        <v>240</v>
      </c>
      <c r="C70" s="1"/>
      <c r="D70" s="1" t="s">
        <v>54</v>
      </c>
      <c r="E70" s="1" t="s">
        <v>41</v>
      </c>
      <c r="F70" s="1">
        <v>2022</v>
      </c>
      <c r="G70" s="1">
        <v>3</v>
      </c>
      <c r="H70" s="1" t="s">
        <v>50</v>
      </c>
      <c r="I70" s="1" t="s">
        <v>43</v>
      </c>
      <c r="J70" s="1">
        <v>4</v>
      </c>
      <c r="K70" s="1" t="s">
        <v>47</v>
      </c>
      <c r="L70" s="1"/>
      <c r="M70" s="1">
        <v>333.67</v>
      </c>
      <c r="N70" s="1"/>
      <c r="O70" s="1">
        <v>328.95</v>
      </c>
      <c r="P70" s="1">
        <v>1.2646999999999999</v>
      </c>
      <c r="Q70" s="1">
        <v>2.5114999999999998</v>
      </c>
      <c r="R70" s="1">
        <v>3.5066000000000002</v>
      </c>
      <c r="S70" s="1">
        <f t="shared" si="2"/>
        <v>2.2419000000000002</v>
      </c>
      <c r="T70" s="17">
        <f t="shared" si="3"/>
        <v>12.025514072884588</v>
      </c>
      <c r="U70" s="1"/>
    </row>
    <row r="71" spans="1:21" x14ac:dyDescent="0.2">
      <c r="A71" t="s">
        <v>29</v>
      </c>
      <c r="B71" s="2">
        <v>241</v>
      </c>
      <c r="C71" s="2"/>
      <c r="D71" s="2" t="s">
        <v>54</v>
      </c>
      <c r="E71" s="2" t="s">
        <v>41</v>
      </c>
      <c r="F71" s="2">
        <v>2022</v>
      </c>
      <c r="G71" s="2">
        <v>3</v>
      </c>
      <c r="H71" s="2" t="s">
        <v>50</v>
      </c>
      <c r="I71" s="2" t="s">
        <v>43</v>
      </c>
      <c r="J71" s="3">
        <v>5</v>
      </c>
      <c r="K71" s="2" t="s">
        <v>48</v>
      </c>
      <c r="L71" s="2"/>
      <c r="M71" s="2">
        <v>303.69</v>
      </c>
      <c r="N71" s="2"/>
      <c r="O71" s="2">
        <v>294.82</v>
      </c>
      <c r="P71" s="2">
        <v>1.2673000000000001</v>
      </c>
      <c r="Q71" s="2">
        <v>2.6724000000000001</v>
      </c>
      <c r="R71" s="2">
        <v>3.6398999999999999</v>
      </c>
      <c r="S71" s="1">
        <f t="shared" si="2"/>
        <v>2.3725999999999998</v>
      </c>
      <c r="T71" s="17">
        <f t="shared" si="3"/>
        <v>12.635926831324298</v>
      </c>
      <c r="U71" s="2"/>
    </row>
    <row r="72" spans="1:21" x14ac:dyDescent="0.2">
      <c r="A72" t="s">
        <v>29</v>
      </c>
      <c r="B72" s="1">
        <v>242</v>
      </c>
      <c r="C72" s="1"/>
      <c r="D72" s="1" t="s">
        <v>54</v>
      </c>
      <c r="E72" s="1" t="s">
        <v>41</v>
      </c>
      <c r="F72" s="1">
        <v>2022</v>
      </c>
      <c r="G72" s="1">
        <v>4</v>
      </c>
      <c r="H72" s="1" t="s">
        <v>55</v>
      </c>
      <c r="I72" s="1" t="s">
        <v>43</v>
      </c>
      <c r="J72" s="1">
        <v>1</v>
      </c>
      <c r="K72" s="1" t="s">
        <v>44</v>
      </c>
      <c r="L72" s="1"/>
      <c r="M72" s="1"/>
      <c r="N72" s="1"/>
      <c r="O72" s="1"/>
      <c r="P72" s="1"/>
      <c r="Q72" s="1"/>
      <c r="R72" s="1"/>
      <c r="S72" s="1">
        <f t="shared" si="2"/>
        <v>0</v>
      </c>
      <c r="T72" s="17" t="e">
        <f t="shared" si="3"/>
        <v>#DIV/0!</v>
      </c>
      <c r="U72" s="1"/>
    </row>
    <row r="73" spans="1:21" x14ac:dyDescent="0.2">
      <c r="A73" t="s">
        <v>29</v>
      </c>
      <c r="B73" s="2">
        <v>243</v>
      </c>
      <c r="C73" s="2"/>
      <c r="D73" s="2" t="s">
        <v>54</v>
      </c>
      <c r="E73" s="2" t="s">
        <v>41</v>
      </c>
      <c r="F73" s="2">
        <v>2022</v>
      </c>
      <c r="G73" s="2">
        <v>4</v>
      </c>
      <c r="H73" s="2" t="s">
        <v>55</v>
      </c>
      <c r="I73" s="2" t="s">
        <v>43</v>
      </c>
      <c r="J73" s="3">
        <v>2</v>
      </c>
      <c r="K73" s="2" t="s">
        <v>45</v>
      </c>
      <c r="L73" s="2"/>
      <c r="M73" s="2"/>
      <c r="N73" s="2"/>
      <c r="O73" s="2"/>
      <c r="P73" s="2"/>
      <c r="Q73" s="2"/>
      <c r="R73" s="2"/>
      <c r="S73" s="1">
        <f t="shared" si="2"/>
        <v>0</v>
      </c>
      <c r="T73" s="17" t="e">
        <f t="shared" si="3"/>
        <v>#DIV/0!</v>
      </c>
      <c r="U73" s="2"/>
    </row>
    <row r="74" spans="1:21" x14ac:dyDescent="0.2">
      <c r="A74" t="s">
        <v>29</v>
      </c>
      <c r="B74" s="1">
        <v>244</v>
      </c>
      <c r="C74" s="1"/>
      <c r="D74" s="1" t="s">
        <v>54</v>
      </c>
      <c r="E74" s="1" t="s">
        <v>41</v>
      </c>
      <c r="F74" s="1">
        <v>2022</v>
      </c>
      <c r="G74" s="1">
        <v>4</v>
      </c>
      <c r="H74" s="1" t="s">
        <v>55</v>
      </c>
      <c r="I74" s="1" t="s">
        <v>43</v>
      </c>
      <c r="J74" s="1">
        <v>3</v>
      </c>
      <c r="K74" s="1" t="s">
        <v>46</v>
      </c>
      <c r="L74" s="1"/>
      <c r="M74" s="1"/>
      <c r="N74" s="1"/>
      <c r="O74" s="1"/>
      <c r="P74" s="1"/>
      <c r="Q74" s="1"/>
      <c r="R74" s="1"/>
      <c r="S74" s="1">
        <f t="shared" si="2"/>
        <v>0</v>
      </c>
      <c r="T74" s="17" t="e">
        <f t="shared" si="3"/>
        <v>#DIV/0!</v>
      </c>
      <c r="U74" s="1"/>
    </row>
    <row r="75" spans="1:21" x14ac:dyDescent="0.2">
      <c r="A75" t="s">
        <v>29</v>
      </c>
      <c r="B75" s="2">
        <v>245</v>
      </c>
      <c r="C75" s="2"/>
      <c r="D75" s="2" t="s">
        <v>54</v>
      </c>
      <c r="E75" s="2" t="s">
        <v>41</v>
      </c>
      <c r="F75" s="2">
        <v>2022</v>
      </c>
      <c r="G75" s="2">
        <v>4</v>
      </c>
      <c r="H75" s="2" t="s">
        <v>55</v>
      </c>
      <c r="I75" s="2" t="s">
        <v>43</v>
      </c>
      <c r="J75" s="3">
        <v>4</v>
      </c>
      <c r="K75" s="2" t="s">
        <v>47</v>
      </c>
      <c r="L75" s="2"/>
      <c r="M75" s="2"/>
      <c r="N75" s="2"/>
      <c r="O75" s="2"/>
      <c r="P75" s="2"/>
      <c r="Q75" s="2"/>
      <c r="R75" s="2"/>
      <c r="S75" s="1">
        <f t="shared" si="2"/>
        <v>0</v>
      </c>
      <c r="T75" s="17" t="e">
        <f t="shared" si="3"/>
        <v>#DIV/0!</v>
      </c>
      <c r="U75" s="2"/>
    </row>
    <row r="76" spans="1:21" x14ac:dyDescent="0.2">
      <c r="A76" t="s">
        <v>29</v>
      </c>
      <c r="B76" s="1">
        <v>246</v>
      </c>
      <c r="C76" s="1"/>
      <c r="D76" s="1" t="s">
        <v>54</v>
      </c>
      <c r="E76" s="1" t="s">
        <v>41</v>
      </c>
      <c r="F76" s="1">
        <v>2022</v>
      </c>
      <c r="G76" s="1">
        <v>4</v>
      </c>
      <c r="H76" s="1" t="s">
        <v>55</v>
      </c>
      <c r="I76" s="1" t="s">
        <v>43</v>
      </c>
      <c r="J76" s="1">
        <v>5</v>
      </c>
      <c r="K76" s="1" t="s">
        <v>48</v>
      </c>
      <c r="L76" s="1"/>
      <c r="M76" s="1"/>
      <c r="N76" s="1"/>
      <c r="O76" s="1"/>
      <c r="P76" s="1"/>
      <c r="Q76" s="1"/>
      <c r="R76" s="1"/>
      <c r="S76" s="1">
        <f t="shared" ref="S76:S99" si="4">R76-P76</f>
        <v>0</v>
      </c>
      <c r="T76" s="17" t="e">
        <f t="shared" ref="T76:T99" si="5">((Q76-S76)/S76)*100</f>
        <v>#DIV/0!</v>
      </c>
      <c r="U76" s="1"/>
    </row>
    <row r="77" spans="1:21" x14ac:dyDescent="0.2">
      <c r="A77" t="s">
        <v>29</v>
      </c>
      <c r="B77" s="2">
        <v>247</v>
      </c>
      <c r="C77" s="2"/>
      <c r="D77" s="2" t="s">
        <v>54</v>
      </c>
      <c r="E77" s="2" t="s">
        <v>41</v>
      </c>
      <c r="F77" s="2">
        <v>2022</v>
      </c>
      <c r="G77" s="2">
        <v>4</v>
      </c>
      <c r="H77" s="2" t="s">
        <v>56</v>
      </c>
      <c r="I77" s="2" t="s">
        <v>43</v>
      </c>
      <c r="J77" s="3">
        <v>1</v>
      </c>
      <c r="K77" s="2" t="s">
        <v>44</v>
      </c>
      <c r="L77" s="2"/>
      <c r="M77" s="2"/>
      <c r="N77" s="2"/>
      <c r="O77" s="2"/>
      <c r="P77" s="2"/>
      <c r="Q77" s="2"/>
      <c r="R77" s="2"/>
      <c r="S77" s="1">
        <f t="shared" si="4"/>
        <v>0</v>
      </c>
      <c r="T77" s="17" t="e">
        <f t="shared" si="5"/>
        <v>#DIV/0!</v>
      </c>
      <c r="U77" s="2"/>
    </row>
    <row r="78" spans="1:21" x14ac:dyDescent="0.2">
      <c r="A78" t="s">
        <v>30</v>
      </c>
      <c r="B78" s="1">
        <v>248</v>
      </c>
      <c r="C78" s="1"/>
      <c r="D78" s="1" t="s">
        <v>54</v>
      </c>
      <c r="E78" s="1" t="s">
        <v>41</v>
      </c>
      <c r="F78" s="1">
        <v>2022</v>
      </c>
      <c r="G78" s="1">
        <v>4</v>
      </c>
      <c r="H78" s="1" t="s">
        <v>56</v>
      </c>
      <c r="I78" s="1" t="s">
        <v>43</v>
      </c>
      <c r="J78" s="1">
        <v>2</v>
      </c>
      <c r="K78" s="1" t="s">
        <v>45</v>
      </c>
      <c r="L78" s="1"/>
      <c r="M78" s="1"/>
      <c r="N78" s="1"/>
      <c r="O78" s="1"/>
      <c r="P78" s="1"/>
      <c r="Q78" s="1"/>
      <c r="R78" s="1"/>
      <c r="S78" s="1">
        <f t="shared" si="4"/>
        <v>0</v>
      </c>
      <c r="T78" s="17" t="e">
        <f t="shared" si="5"/>
        <v>#DIV/0!</v>
      </c>
      <c r="U78" s="1"/>
    </row>
    <row r="79" spans="1:21" x14ac:dyDescent="0.2">
      <c r="A79" t="s">
        <v>30</v>
      </c>
      <c r="B79" s="2">
        <v>249</v>
      </c>
      <c r="C79" s="2"/>
      <c r="D79" s="2" t="s">
        <v>54</v>
      </c>
      <c r="E79" s="2" t="s">
        <v>41</v>
      </c>
      <c r="F79" s="2">
        <v>2022</v>
      </c>
      <c r="G79" s="2">
        <v>4</v>
      </c>
      <c r="H79" s="2" t="s">
        <v>56</v>
      </c>
      <c r="I79" s="2" t="s">
        <v>43</v>
      </c>
      <c r="J79" s="3">
        <v>3</v>
      </c>
      <c r="K79" s="2" t="s">
        <v>46</v>
      </c>
      <c r="L79" s="2"/>
      <c r="M79" s="2"/>
      <c r="N79" s="2"/>
      <c r="O79" s="2"/>
      <c r="P79" s="2"/>
      <c r="Q79" s="2"/>
      <c r="R79" s="2"/>
      <c r="S79" s="1">
        <f t="shared" si="4"/>
        <v>0</v>
      </c>
      <c r="T79" s="17" t="e">
        <f t="shared" si="5"/>
        <v>#DIV/0!</v>
      </c>
      <c r="U79" s="2"/>
    </row>
    <row r="80" spans="1:21" x14ac:dyDescent="0.2">
      <c r="A80" t="s">
        <v>30</v>
      </c>
      <c r="B80" s="1">
        <v>250</v>
      </c>
      <c r="C80" s="1"/>
      <c r="D80" s="1" t="s">
        <v>54</v>
      </c>
      <c r="E80" s="1" t="s">
        <v>41</v>
      </c>
      <c r="F80" s="1">
        <v>2022</v>
      </c>
      <c r="G80" s="1">
        <v>4</v>
      </c>
      <c r="H80" s="1" t="s">
        <v>56</v>
      </c>
      <c r="I80" s="1" t="s">
        <v>43</v>
      </c>
      <c r="J80" s="1">
        <v>4</v>
      </c>
      <c r="K80" s="1" t="s">
        <v>47</v>
      </c>
      <c r="L80" s="1"/>
      <c r="M80" s="1"/>
      <c r="N80" s="1"/>
      <c r="O80" s="1"/>
      <c r="P80" s="1"/>
      <c r="Q80" s="1"/>
      <c r="R80" s="1"/>
      <c r="S80" s="1">
        <f t="shared" si="4"/>
        <v>0</v>
      </c>
      <c r="T80" s="17" t="e">
        <f t="shared" si="5"/>
        <v>#DIV/0!</v>
      </c>
      <c r="U80" s="1"/>
    </row>
    <row r="81" spans="1:21" x14ac:dyDescent="0.2">
      <c r="A81" t="s">
        <v>30</v>
      </c>
      <c r="B81" s="2">
        <v>251</v>
      </c>
      <c r="C81" s="2"/>
      <c r="D81" s="2" t="s">
        <v>54</v>
      </c>
      <c r="E81" s="2" t="s">
        <v>41</v>
      </c>
      <c r="F81" s="2">
        <v>2022</v>
      </c>
      <c r="G81" s="2">
        <v>4</v>
      </c>
      <c r="H81" s="2" t="s">
        <v>56</v>
      </c>
      <c r="I81" s="2" t="s">
        <v>43</v>
      </c>
      <c r="J81" s="3">
        <v>5</v>
      </c>
      <c r="K81" s="2" t="s">
        <v>48</v>
      </c>
      <c r="L81" s="2"/>
      <c r="M81" s="2"/>
      <c r="N81" s="2"/>
      <c r="O81" s="2"/>
      <c r="P81" s="2"/>
      <c r="Q81" s="2"/>
      <c r="R81" s="2"/>
      <c r="S81" s="1">
        <f t="shared" si="4"/>
        <v>0</v>
      </c>
      <c r="T81" s="17" t="e">
        <f t="shared" si="5"/>
        <v>#DIV/0!</v>
      </c>
      <c r="U81" s="2"/>
    </row>
    <row r="82" spans="1:21" x14ac:dyDescent="0.2">
      <c r="A82" t="s">
        <v>30</v>
      </c>
      <c r="B82" s="1">
        <v>252</v>
      </c>
      <c r="C82" s="1"/>
      <c r="D82" s="1" t="s">
        <v>57</v>
      </c>
      <c r="E82" s="1" t="s">
        <v>41</v>
      </c>
      <c r="F82" s="1" t="s">
        <v>53</v>
      </c>
      <c r="G82" s="1">
        <v>1</v>
      </c>
      <c r="H82" s="1" t="s">
        <v>42</v>
      </c>
      <c r="I82" s="1" t="s">
        <v>43</v>
      </c>
      <c r="J82" s="1">
        <v>1</v>
      </c>
      <c r="K82" s="1" t="s">
        <v>44</v>
      </c>
      <c r="L82" s="1"/>
      <c r="M82" s="1">
        <v>70.760000000000005</v>
      </c>
      <c r="N82" s="1"/>
      <c r="O82" s="1">
        <v>70.489999999999995</v>
      </c>
      <c r="P82" s="1">
        <v>1.2748999999999999</v>
      </c>
      <c r="Q82" s="1">
        <v>2.4030999999999998</v>
      </c>
      <c r="R82" s="1">
        <v>3.5398999999999998</v>
      </c>
      <c r="S82" s="1">
        <f t="shared" si="4"/>
        <v>2.2649999999999997</v>
      </c>
      <c r="T82" s="17">
        <f t="shared" si="5"/>
        <v>6.0971302428256129</v>
      </c>
      <c r="U82" s="1"/>
    </row>
    <row r="83" spans="1:21" x14ac:dyDescent="0.2">
      <c r="A83" t="s">
        <v>30</v>
      </c>
      <c r="B83" s="2">
        <v>253</v>
      </c>
      <c r="C83" s="2"/>
      <c r="D83" s="2" t="s">
        <v>57</v>
      </c>
      <c r="E83" s="2" t="s">
        <v>41</v>
      </c>
      <c r="F83" s="2" t="s">
        <v>53</v>
      </c>
      <c r="G83" s="2">
        <v>1</v>
      </c>
      <c r="H83" s="2" t="s">
        <v>42</v>
      </c>
      <c r="I83" s="2" t="s">
        <v>43</v>
      </c>
      <c r="J83" s="3">
        <v>2</v>
      </c>
      <c r="K83" s="2" t="s">
        <v>45</v>
      </c>
      <c r="L83" s="2"/>
      <c r="M83" s="2">
        <v>134.4</v>
      </c>
      <c r="N83" s="2"/>
      <c r="O83" s="2">
        <v>132.4</v>
      </c>
      <c r="P83" s="2">
        <v>1.2828999999999999</v>
      </c>
      <c r="Q83" s="2">
        <v>2.4245999999999999</v>
      </c>
      <c r="R83" s="2">
        <v>3.5247000000000002</v>
      </c>
      <c r="S83" s="1">
        <f t="shared" si="4"/>
        <v>2.2418000000000005</v>
      </c>
      <c r="T83" s="17">
        <f t="shared" si="5"/>
        <v>8.1541618342403144</v>
      </c>
      <c r="U83" s="2"/>
    </row>
    <row r="84" spans="1:21" x14ac:dyDescent="0.2">
      <c r="A84" t="s">
        <v>30</v>
      </c>
      <c r="B84" s="1">
        <v>254</v>
      </c>
      <c r="C84" s="1"/>
      <c r="D84" s="1" t="s">
        <v>57</v>
      </c>
      <c r="E84" s="1" t="s">
        <v>41</v>
      </c>
      <c r="F84" s="1" t="s">
        <v>53</v>
      </c>
      <c r="G84" s="1">
        <v>1</v>
      </c>
      <c r="H84" s="1" t="s">
        <v>42</v>
      </c>
      <c r="I84" s="1" t="s">
        <v>43</v>
      </c>
      <c r="J84" s="1">
        <v>3</v>
      </c>
      <c r="K84" s="1" t="s">
        <v>46</v>
      </c>
      <c r="L84" s="1"/>
      <c r="M84" s="1">
        <v>163.44</v>
      </c>
      <c r="N84" s="1"/>
      <c r="O84" s="1">
        <v>158.53</v>
      </c>
      <c r="P84" s="1">
        <v>1.2819</v>
      </c>
      <c r="Q84" s="1">
        <v>2.1255999999999999</v>
      </c>
      <c r="R84" s="1">
        <v>3.1979000000000002</v>
      </c>
      <c r="S84" s="1">
        <f t="shared" si="4"/>
        <v>1.9160000000000001</v>
      </c>
      <c r="T84" s="17">
        <f t="shared" si="5"/>
        <v>10.939457202505206</v>
      </c>
      <c r="U84" s="1"/>
    </row>
    <row r="85" spans="1:21" x14ac:dyDescent="0.2">
      <c r="A85" t="s">
        <v>30</v>
      </c>
      <c r="B85" s="2">
        <v>255</v>
      </c>
      <c r="C85" s="2"/>
      <c r="D85" s="2" t="s">
        <v>57</v>
      </c>
      <c r="E85" s="2" t="s">
        <v>41</v>
      </c>
      <c r="F85" s="2" t="s">
        <v>53</v>
      </c>
      <c r="G85" s="2">
        <v>1</v>
      </c>
      <c r="H85" s="2" t="s">
        <v>42</v>
      </c>
      <c r="I85" s="2" t="s">
        <v>43</v>
      </c>
      <c r="J85" s="3">
        <v>4</v>
      </c>
      <c r="K85" s="2" t="s">
        <v>47</v>
      </c>
      <c r="L85" s="2"/>
      <c r="M85" s="2">
        <v>42.1</v>
      </c>
      <c r="N85" s="2"/>
      <c r="O85" s="2">
        <v>40.57</v>
      </c>
      <c r="P85" s="2">
        <v>1.2769999999999999</v>
      </c>
      <c r="Q85" s="2">
        <v>2.1608999999999998</v>
      </c>
      <c r="R85" s="2">
        <v>3.2181000000000002</v>
      </c>
      <c r="S85" s="1">
        <f t="shared" si="4"/>
        <v>1.9411000000000003</v>
      </c>
      <c r="T85" s="17">
        <f t="shared" si="5"/>
        <v>11.323476379372496</v>
      </c>
      <c r="U85" s="2"/>
    </row>
    <row r="86" spans="1:21" x14ac:dyDescent="0.2">
      <c r="A86" t="s">
        <v>30</v>
      </c>
      <c r="B86" s="1">
        <v>256</v>
      </c>
      <c r="C86" s="1"/>
      <c r="D86" s="1" t="s">
        <v>57</v>
      </c>
      <c r="E86" s="1" t="s">
        <v>41</v>
      </c>
      <c r="F86" s="1" t="s">
        <v>53</v>
      </c>
      <c r="G86" s="1">
        <v>1</v>
      </c>
      <c r="H86" s="1" t="s">
        <v>42</v>
      </c>
      <c r="I86" s="1" t="s">
        <v>43</v>
      </c>
      <c r="J86" s="1">
        <v>5</v>
      </c>
      <c r="K86" s="1" t="s">
        <v>48</v>
      </c>
      <c r="L86" s="1"/>
      <c r="M86" s="1"/>
      <c r="N86" s="1"/>
      <c r="O86" s="1"/>
      <c r="P86" s="1"/>
      <c r="Q86" s="1"/>
      <c r="R86" s="1"/>
      <c r="S86" s="1">
        <f t="shared" si="4"/>
        <v>0</v>
      </c>
      <c r="T86" s="17" t="e">
        <f t="shared" si="5"/>
        <v>#DIV/0!</v>
      </c>
      <c r="U86" s="1"/>
    </row>
    <row r="87" spans="1:21" x14ac:dyDescent="0.2">
      <c r="A87" t="s">
        <v>30</v>
      </c>
      <c r="B87" s="2">
        <v>257</v>
      </c>
      <c r="C87" s="2"/>
      <c r="D87" s="2" t="s">
        <v>57</v>
      </c>
      <c r="E87" s="2" t="s">
        <v>41</v>
      </c>
      <c r="F87" s="2" t="s">
        <v>53</v>
      </c>
      <c r="G87" s="2">
        <v>1</v>
      </c>
      <c r="H87" s="2" t="s">
        <v>42</v>
      </c>
      <c r="I87" s="2" t="s">
        <v>43</v>
      </c>
      <c r="J87" s="3">
        <v>1</v>
      </c>
      <c r="K87" s="2" t="s">
        <v>44</v>
      </c>
      <c r="L87" s="2"/>
      <c r="M87" s="2">
        <v>63.75</v>
      </c>
      <c r="N87" s="2"/>
      <c r="O87" s="2">
        <v>62.01</v>
      </c>
      <c r="P87" s="2">
        <v>1.2699</v>
      </c>
      <c r="Q87" s="2">
        <v>2.3658999999999999</v>
      </c>
      <c r="R87" s="2">
        <v>3.5198999999999998</v>
      </c>
      <c r="S87" s="1">
        <f t="shared" si="4"/>
        <v>2.25</v>
      </c>
      <c r="T87" s="17">
        <f t="shared" si="5"/>
        <v>5.1511111111111063</v>
      </c>
      <c r="U87" s="2"/>
    </row>
    <row r="88" spans="1:21" x14ac:dyDescent="0.2">
      <c r="A88" t="s">
        <v>30</v>
      </c>
      <c r="B88" s="1">
        <v>258</v>
      </c>
      <c r="C88" s="1"/>
      <c r="D88" s="1" t="s">
        <v>57</v>
      </c>
      <c r="E88" s="1" t="s">
        <v>41</v>
      </c>
      <c r="F88" s="1" t="s">
        <v>53</v>
      </c>
      <c r="G88" s="1">
        <v>1</v>
      </c>
      <c r="H88" s="1" t="s">
        <v>42</v>
      </c>
      <c r="I88" s="1" t="s">
        <v>43</v>
      </c>
      <c r="J88" s="1">
        <v>2</v>
      </c>
      <c r="K88" s="1" t="s">
        <v>45</v>
      </c>
      <c r="L88" s="1"/>
      <c r="M88" s="1">
        <v>143.4</v>
      </c>
      <c r="N88" s="1"/>
      <c r="O88" s="1">
        <v>141.33000000000001</v>
      </c>
      <c r="P88" s="1">
        <v>1.2709999999999999</v>
      </c>
      <c r="Q88" s="1">
        <v>2.2679999999999998</v>
      </c>
      <c r="R88" s="1">
        <v>3.3858999999999999</v>
      </c>
      <c r="S88" s="1">
        <f t="shared" si="4"/>
        <v>2.1149</v>
      </c>
      <c r="T88" s="17">
        <f t="shared" si="5"/>
        <v>7.2391129604236504</v>
      </c>
      <c r="U88" s="1"/>
    </row>
    <row r="89" spans="1:21" x14ac:dyDescent="0.2">
      <c r="A89" t="s">
        <v>30</v>
      </c>
      <c r="B89" s="2">
        <v>259</v>
      </c>
      <c r="C89" s="2"/>
      <c r="D89" s="2" t="s">
        <v>57</v>
      </c>
      <c r="E89" s="2" t="s">
        <v>41</v>
      </c>
      <c r="F89" s="2" t="s">
        <v>53</v>
      </c>
      <c r="G89" s="2">
        <v>1</v>
      </c>
      <c r="H89" s="2" t="s">
        <v>42</v>
      </c>
      <c r="I89" s="2" t="s">
        <v>43</v>
      </c>
      <c r="J89" s="3">
        <v>3</v>
      </c>
      <c r="K89" s="2" t="s">
        <v>46</v>
      </c>
      <c r="L89" s="2"/>
      <c r="M89" s="2">
        <v>324.42</v>
      </c>
      <c r="N89" s="2"/>
      <c r="O89" s="2">
        <v>318.14999999999998</v>
      </c>
      <c r="P89" s="2">
        <v>1.2699</v>
      </c>
      <c r="Q89" s="2">
        <v>2.4954999999999998</v>
      </c>
      <c r="R89" s="2">
        <v>3.5240999999999998</v>
      </c>
      <c r="S89" s="1">
        <f t="shared" si="4"/>
        <v>2.2542</v>
      </c>
      <c r="T89" s="17">
        <f t="shared" si="5"/>
        <v>10.704462780587342</v>
      </c>
      <c r="U89" s="2"/>
    </row>
    <row r="90" spans="1:21" x14ac:dyDescent="0.2">
      <c r="A90" t="s">
        <v>30</v>
      </c>
      <c r="B90" s="1">
        <v>260</v>
      </c>
      <c r="C90" s="1"/>
      <c r="D90" s="1" t="s">
        <v>57</v>
      </c>
      <c r="E90" s="1" t="s">
        <v>41</v>
      </c>
      <c r="F90" s="1" t="s">
        <v>53</v>
      </c>
      <c r="G90" s="1">
        <v>1</v>
      </c>
      <c r="H90" s="1" t="s">
        <v>42</v>
      </c>
      <c r="I90" s="1" t="s">
        <v>43</v>
      </c>
      <c r="J90" s="1">
        <v>4</v>
      </c>
      <c r="K90" s="1" t="s">
        <v>47</v>
      </c>
      <c r="L90" s="1"/>
      <c r="M90" s="1">
        <v>190.87</v>
      </c>
      <c r="N90" s="1"/>
      <c r="O90" s="1">
        <v>183.77</v>
      </c>
      <c r="P90" s="1">
        <v>1.2774000000000001</v>
      </c>
      <c r="Q90" s="1">
        <v>2.1053999999999999</v>
      </c>
      <c r="R90" s="1">
        <v>3.1328</v>
      </c>
      <c r="S90" s="1">
        <f t="shared" si="4"/>
        <v>1.8553999999999999</v>
      </c>
      <c r="T90" s="17">
        <f t="shared" si="5"/>
        <v>13.474183464482053</v>
      </c>
      <c r="U90" s="1"/>
    </row>
    <row r="91" spans="1:21" x14ac:dyDescent="0.2">
      <c r="A91" t="s">
        <v>30</v>
      </c>
      <c r="B91" s="2">
        <v>261</v>
      </c>
      <c r="C91" s="2"/>
      <c r="D91" s="2" t="s">
        <v>57</v>
      </c>
      <c r="E91" s="2" t="s">
        <v>41</v>
      </c>
      <c r="F91" s="2" t="s">
        <v>53</v>
      </c>
      <c r="G91" s="2">
        <v>1</v>
      </c>
      <c r="H91" s="2" t="s">
        <v>42</v>
      </c>
      <c r="I91" s="2" t="s">
        <v>43</v>
      </c>
      <c r="J91" s="3">
        <v>5</v>
      </c>
      <c r="K91" s="2" t="s">
        <v>48</v>
      </c>
      <c r="L91" s="2"/>
      <c r="M91" s="2"/>
      <c r="N91" s="2"/>
      <c r="O91" s="2"/>
      <c r="P91" s="2"/>
      <c r="Q91" s="2"/>
      <c r="R91" s="2"/>
      <c r="S91" s="1">
        <f t="shared" si="4"/>
        <v>0</v>
      </c>
      <c r="T91" s="17" t="e">
        <f t="shared" si="5"/>
        <v>#DIV/0!</v>
      </c>
      <c r="U91" s="2"/>
    </row>
    <row r="92" spans="1:21" x14ac:dyDescent="0.2">
      <c r="A92" t="s">
        <v>30</v>
      </c>
      <c r="B92" s="1">
        <v>262</v>
      </c>
      <c r="C92" s="1"/>
      <c r="D92" s="1" t="s">
        <v>57</v>
      </c>
      <c r="E92" s="1" t="s">
        <v>41</v>
      </c>
      <c r="F92" s="1" t="s">
        <v>53</v>
      </c>
      <c r="G92" s="1">
        <v>2</v>
      </c>
      <c r="H92" s="1" t="s">
        <v>49</v>
      </c>
      <c r="I92" s="1" t="s">
        <v>43</v>
      </c>
      <c r="J92" s="1">
        <v>1</v>
      </c>
      <c r="K92" s="1" t="s">
        <v>44</v>
      </c>
      <c r="L92" s="1"/>
      <c r="M92" s="1">
        <v>61.37</v>
      </c>
      <c r="N92" s="1"/>
      <c r="O92" s="1">
        <v>60.92</v>
      </c>
      <c r="P92" s="1">
        <v>1.2618</v>
      </c>
      <c r="Q92" s="1">
        <v>1.9911000000000001</v>
      </c>
      <c r="R92" s="1">
        <v>3.1276000000000002</v>
      </c>
      <c r="S92" s="1">
        <f t="shared" si="4"/>
        <v>1.8658000000000001</v>
      </c>
      <c r="T92" s="17">
        <f t="shared" si="5"/>
        <v>6.7156179654839718</v>
      </c>
      <c r="U92" s="1"/>
    </row>
    <row r="93" spans="1:21" x14ac:dyDescent="0.2">
      <c r="A93" t="s">
        <v>30</v>
      </c>
      <c r="B93" s="2">
        <v>263</v>
      </c>
      <c r="C93" s="2"/>
      <c r="D93" s="2" t="s">
        <v>57</v>
      </c>
      <c r="E93" s="2" t="s">
        <v>41</v>
      </c>
      <c r="F93" s="2" t="s">
        <v>53</v>
      </c>
      <c r="G93" s="2">
        <v>2</v>
      </c>
      <c r="H93" s="2" t="s">
        <v>49</v>
      </c>
      <c r="I93" s="2" t="s">
        <v>43</v>
      </c>
      <c r="J93" s="3">
        <v>2</v>
      </c>
      <c r="K93" s="2" t="s">
        <v>45</v>
      </c>
      <c r="L93" s="2"/>
      <c r="M93" s="2">
        <v>80.48</v>
      </c>
      <c r="N93" s="2"/>
      <c r="O93" s="2">
        <v>79.319999999999993</v>
      </c>
      <c r="P93" s="2">
        <v>1.2574000000000001</v>
      </c>
      <c r="Q93" s="2">
        <v>2.6274000000000002</v>
      </c>
      <c r="R93" s="2">
        <v>3.7035999999999998</v>
      </c>
      <c r="S93" s="1">
        <f t="shared" si="4"/>
        <v>2.4461999999999997</v>
      </c>
      <c r="T93" s="17">
        <f t="shared" si="5"/>
        <v>7.4074074074074279</v>
      </c>
      <c r="U93" s="2"/>
    </row>
    <row r="94" spans="1:21" x14ac:dyDescent="0.2">
      <c r="A94" t="s">
        <v>30</v>
      </c>
      <c r="B94" s="1">
        <v>264</v>
      </c>
      <c r="C94" s="1"/>
      <c r="D94" s="1" t="s">
        <v>57</v>
      </c>
      <c r="E94" s="1" t="s">
        <v>41</v>
      </c>
      <c r="F94" s="1" t="s">
        <v>53</v>
      </c>
      <c r="G94" s="1">
        <v>2</v>
      </c>
      <c r="H94" s="1" t="s">
        <v>49</v>
      </c>
      <c r="I94" s="1" t="s">
        <v>43</v>
      </c>
      <c r="J94" s="1">
        <v>3</v>
      </c>
      <c r="K94" s="1" t="s">
        <v>46</v>
      </c>
      <c r="L94" s="1"/>
      <c r="M94" s="1">
        <v>108.36</v>
      </c>
      <c r="N94" s="1"/>
      <c r="O94" s="1">
        <v>105.99</v>
      </c>
      <c r="P94" s="1">
        <v>1.2688999999999999</v>
      </c>
      <c r="Q94" s="1">
        <v>2.5499000000000001</v>
      </c>
      <c r="R94" s="1">
        <v>3.6128999999999998</v>
      </c>
      <c r="S94" s="1">
        <f t="shared" si="4"/>
        <v>2.3439999999999999</v>
      </c>
      <c r="T94" s="17">
        <f t="shared" si="5"/>
        <v>8.7841296928327726</v>
      </c>
      <c r="U94" s="1"/>
    </row>
    <row r="95" spans="1:21" x14ac:dyDescent="0.2">
      <c r="A95" t="s">
        <v>30</v>
      </c>
      <c r="B95" s="2">
        <v>265</v>
      </c>
      <c r="C95" s="2"/>
      <c r="D95" s="2" t="s">
        <v>57</v>
      </c>
      <c r="E95" s="2" t="s">
        <v>41</v>
      </c>
      <c r="F95" s="2" t="s">
        <v>53</v>
      </c>
      <c r="G95" s="2">
        <v>2</v>
      </c>
      <c r="H95" s="2" t="s">
        <v>49</v>
      </c>
      <c r="I95" s="2" t="s">
        <v>43</v>
      </c>
      <c r="J95" s="3">
        <v>4</v>
      </c>
      <c r="K95" s="2" t="s">
        <v>47</v>
      </c>
      <c r="L95" s="2"/>
      <c r="M95" s="2"/>
      <c r="N95" s="2"/>
      <c r="O95" s="2"/>
      <c r="P95" s="2"/>
      <c r="Q95" s="2"/>
      <c r="R95" s="2"/>
      <c r="S95" s="1">
        <f t="shared" si="4"/>
        <v>0</v>
      </c>
      <c r="T95" s="17" t="e">
        <f t="shared" si="5"/>
        <v>#DIV/0!</v>
      </c>
      <c r="U95" s="2"/>
    </row>
    <row r="96" spans="1:21" x14ac:dyDescent="0.2">
      <c r="A96" t="s">
        <v>30</v>
      </c>
      <c r="B96" s="1">
        <v>266</v>
      </c>
      <c r="C96" s="1"/>
      <c r="D96" s="1" t="s">
        <v>57</v>
      </c>
      <c r="E96" s="1" t="s">
        <v>41</v>
      </c>
      <c r="F96" s="1" t="s">
        <v>53</v>
      </c>
      <c r="G96" s="1">
        <v>2</v>
      </c>
      <c r="H96" s="1" t="s">
        <v>49</v>
      </c>
      <c r="I96" s="1" t="s">
        <v>43</v>
      </c>
      <c r="J96" s="1">
        <v>5</v>
      </c>
      <c r="K96" s="1" t="s">
        <v>48</v>
      </c>
      <c r="L96" s="1"/>
      <c r="M96" s="1"/>
      <c r="N96" s="1"/>
      <c r="O96" s="1"/>
      <c r="P96" s="1"/>
      <c r="Q96" s="1"/>
      <c r="R96" s="1"/>
      <c r="S96" s="1">
        <f t="shared" si="4"/>
        <v>0</v>
      </c>
      <c r="T96" s="17" t="e">
        <f t="shared" si="5"/>
        <v>#DIV/0!</v>
      </c>
      <c r="U96" s="1"/>
    </row>
    <row r="97" spans="1:21" x14ac:dyDescent="0.2">
      <c r="A97" t="s">
        <v>30</v>
      </c>
      <c r="B97" s="2" t="s">
        <v>31</v>
      </c>
      <c r="C97" s="2"/>
      <c r="D97" s="2"/>
      <c r="E97" s="2"/>
      <c r="F97" s="2"/>
      <c r="G97" s="2"/>
      <c r="H97" s="2"/>
      <c r="I97" s="2"/>
      <c r="J97" s="2"/>
      <c r="K97" s="3"/>
      <c r="L97" s="2"/>
      <c r="M97" s="2">
        <v>61.07</v>
      </c>
      <c r="N97" s="2"/>
      <c r="O97" s="2">
        <v>55.57</v>
      </c>
      <c r="P97" s="2">
        <v>1.2599</v>
      </c>
      <c r="Q97" s="2">
        <v>2.1421000000000001</v>
      </c>
      <c r="R97" s="2">
        <v>3.2261000000000002</v>
      </c>
      <c r="S97" s="1">
        <f t="shared" si="4"/>
        <v>1.9662000000000002</v>
      </c>
      <c r="T97" s="17">
        <f t="shared" si="5"/>
        <v>8.9461906215034048</v>
      </c>
      <c r="U97" s="2"/>
    </row>
    <row r="98" spans="1:21" x14ac:dyDescent="0.2">
      <c r="A98" t="s">
        <v>30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>
        <f t="shared" si="4"/>
        <v>0</v>
      </c>
      <c r="T98" s="17" t="e">
        <f t="shared" si="5"/>
        <v>#DIV/0!</v>
      </c>
      <c r="U98" s="1"/>
    </row>
    <row r="99" spans="1:21" x14ac:dyDescent="0.2">
      <c r="A99" t="s">
        <v>30</v>
      </c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  <c r="S99" s="1">
        <f t="shared" si="4"/>
        <v>0</v>
      </c>
      <c r="T99" s="17" t="e">
        <f t="shared" si="5"/>
        <v>#DIV/0!</v>
      </c>
      <c r="U99" s="2"/>
    </row>
  </sheetData>
  <autoFilter ref="A11:U11" xr:uid="{77D89E93-E19F-7740-8FD4-72E4CA9785C0}">
    <sortState xmlns:xlrd2="http://schemas.microsoft.com/office/spreadsheetml/2017/richdata2" ref="A12:U203">
      <sortCondition ref="B11:B203"/>
    </sortState>
  </autoFilter>
  <phoneticPr fontId="3" type="noConversion"/>
  <conditionalFormatting sqref="M12:M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M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:M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2:M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7:M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2:M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7:M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2:M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" right="0.5" top="0.5" bottom="0.5" header="0.3" footer="0.3"/>
  <pageSetup orientation="portrait" horizontalDpi="0" verticalDpi="0"/>
  <headerFooter>
    <oddHeader>&amp;C&amp;"-,Bold"soil processing - hedgerows&amp;RA. Guzman
K. Finstad</oddHead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965-2F5D-8F46-99DD-1D02E8A58FB1}">
  <dimension ref="A1:G4"/>
  <sheetViews>
    <sheetView zoomScale="200" workbookViewId="0">
      <selection activeCell="G6" sqref="G6"/>
    </sheetView>
  </sheetViews>
  <sheetFormatPr baseColWidth="10" defaultColWidth="11" defaultRowHeight="16" x14ac:dyDescent="0.2"/>
  <cols>
    <col min="2" max="2" width="12.83203125" bestFit="1" customWidth="1"/>
    <col min="5" max="5" width="12" bestFit="1" customWidth="1"/>
    <col min="6" max="6" width="13.5" bestFit="1" customWidth="1"/>
  </cols>
  <sheetData>
    <row r="1" spans="1:7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">
      <c r="A2">
        <v>5</v>
      </c>
      <c r="B2">
        <v>3</v>
      </c>
      <c r="C2">
        <v>3</v>
      </c>
      <c r="D2">
        <v>5</v>
      </c>
      <c r="E2">
        <f>A2*B2*C2*D2</f>
        <v>225</v>
      </c>
      <c r="F2">
        <f>A2*B2*C2</f>
        <v>45</v>
      </c>
      <c r="G2">
        <f>5*B2*C2</f>
        <v>45</v>
      </c>
    </row>
    <row r="3" spans="1:7" x14ac:dyDescent="0.2">
      <c r="A3">
        <v>5</v>
      </c>
      <c r="B3">
        <v>2</v>
      </c>
      <c r="C3">
        <v>1</v>
      </c>
      <c r="D3">
        <v>5</v>
      </c>
      <c r="E3">
        <f>A3*B3*C3*D3</f>
        <v>50</v>
      </c>
      <c r="F3">
        <f>A3*B3*C3</f>
        <v>10</v>
      </c>
      <c r="G3">
        <f>5*B3*C3</f>
        <v>10</v>
      </c>
    </row>
    <row r="4" spans="1:7" x14ac:dyDescent="0.2">
      <c r="E4">
        <f>SUM(E2:E3)</f>
        <v>275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0464D6-7FCD-483A-B452-4445C6E2CED7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ec3d5568-e1f4-4497-bc9f-65552693db71"/>
  </ds:schemaRefs>
</ds:datastoreItem>
</file>

<file path=customXml/itemProps2.xml><?xml version="1.0" encoding="utf-8"?>
<ds:datastoreItem xmlns:ds="http://schemas.openxmlformats.org/officeDocument/2006/customXml" ds:itemID="{4AC30718-4FAB-4CBC-8B4F-990CFB17D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5262FC-7FD0-46B6-AD2F-5500DBABAA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5568-e1f4-4497-bc9f-65552693d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Guzman, Aidee</dc:creator>
  <cp:keywords/>
  <dc:description/>
  <cp:lastModifiedBy>Aidee Guzman</cp:lastModifiedBy>
  <cp:revision/>
  <dcterms:created xsi:type="dcterms:W3CDTF">2024-06-18T15:57:45Z</dcterms:created>
  <dcterms:modified xsi:type="dcterms:W3CDTF">2025-01-05T02:39:08Z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