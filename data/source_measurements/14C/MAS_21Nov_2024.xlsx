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charts/style4.xml" ContentType="application/vnd.ms-office.chartstyle+xml"/>
  <Override PartName="/xl/charts/colors3.xml" ContentType="application/vnd.ms-office.chartcolor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<sst xmlns="http://schemas.openxmlformats.org/spreadsheetml/2006/main" count="106" uniqueCount="79">
  <si>
    <t xml:space="preserve">CAMS#</t>
  </si>
  <si>
    <t xml:space="preserve">SampleName</t>
  </si>
  <si>
    <t xml:space="preserve">Site</t>
  </si>
  <si>
    <t xml:space="preserve">Plot</t>
  </si>
  <si>
    <t xml:space="preserve">Nnumber</t>
  </si>
  <si>
    <t xml:space="preserve">fractionModern</t>
  </si>
  <si>
    <t xml:space="preserve">FractionModern_err</t>
  </si>
  <si>
    <t xml:space="preserve">Del14C</t>
  </si>
  <si>
    <t xml:space="preserve">Del14C_err</t>
  </si>
  <si>
    <t xml:space="preserve">Date_run</t>
  </si>
  <si>
    <t xml:space="preserve">Depth_top</t>
  </si>
  <si>
    <t xml:space="preserve">Depth_bottom</t>
  </si>
  <si>
    <t xml:space="preserve">Depth_mid</t>
  </si>
  <si>
    <t xml:space="preserve">Avg_14C</t>
  </si>
  <si>
    <t xml:space="preserve">SD_14Cavg</t>
  </si>
  <si>
    <t xml:space="preserve">C_percent</t>
  </si>
  <si>
    <t xml:space="preserve">Avg_Cpercent</t>
  </si>
  <si>
    <t xml:space="preserve">N_percent</t>
  </si>
  <si>
    <t xml:space="preserve">CN_ratio</t>
  </si>
  <si>
    <t xml:space="preserve">67_MAS1_1_A1_DT</t>
  </si>
  <si>
    <t xml:space="preserve">MAS1</t>
  </si>
  <si>
    <t xml:space="preserve">N135252</t>
  </si>
  <si>
    <t xml:space="preserve">68_MAS1_1_A2_DT</t>
  </si>
  <si>
    <t xml:space="preserve">N135253</t>
  </si>
  <si>
    <t xml:space="preserve">69_MAS1_1_A3_DT</t>
  </si>
  <si>
    <t xml:space="preserve">N135254</t>
  </si>
  <si>
    <t xml:space="preserve">70_MAS1_1_A4_DT</t>
  </si>
  <si>
    <t xml:space="preserve">N135255</t>
  </si>
  <si>
    <t xml:space="preserve">71_MAS1_1_A5_DT</t>
  </si>
  <si>
    <t xml:space="preserve">N135256</t>
  </si>
  <si>
    <t xml:space="preserve">87_MAS1_3_A1_DT</t>
  </si>
  <si>
    <t xml:space="preserve">N135257</t>
  </si>
  <si>
    <t xml:space="preserve">88_MAS1_3_A2_DT</t>
  </si>
  <si>
    <t xml:space="preserve">N135258</t>
  </si>
  <si>
    <t xml:space="preserve">89_MAS1_3_A3_DT</t>
  </si>
  <si>
    <t xml:space="preserve">N135259</t>
  </si>
  <si>
    <t xml:space="preserve">90_MAS1_3_A4_DT</t>
  </si>
  <si>
    <t xml:space="preserve">N135260</t>
  </si>
  <si>
    <t xml:space="preserve">91_MAS1_3_A5_DT</t>
  </si>
  <si>
    <t xml:space="preserve">N135261</t>
  </si>
  <si>
    <t xml:space="preserve">107_MAS1_5_A1_DT</t>
  </si>
  <si>
    <t xml:space="preserve">N135262</t>
  </si>
  <si>
    <t xml:space="preserve">108_MAS1_5_A2_DT</t>
  </si>
  <si>
    <t xml:space="preserve">N135263</t>
  </si>
  <si>
    <t xml:space="preserve">109_MAS1_5_A3_DT</t>
  </si>
  <si>
    <t xml:space="preserve">N135264</t>
  </si>
  <si>
    <t xml:space="preserve">110_MAS1_5_A4_DT</t>
  </si>
  <si>
    <t xml:space="preserve">N135265</t>
  </si>
  <si>
    <t xml:space="preserve">122_MAS2_1_A1_DT</t>
  </si>
  <si>
    <t xml:space="preserve">MAS2</t>
  </si>
  <si>
    <t xml:space="preserve">N135268</t>
  </si>
  <si>
    <t xml:space="preserve">123_MAS2_1_A2_DT</t>
  </si>
  <si>
    <t xml:space="preserve">N135269</t>
  </si>
  <si>
    <t xml:space="preserve">124_MAS2_1_A3_DT</t>
  </si>
  <si>
    <t xml:space="preserve">N135270</t>
  </si>
  <si>
    <t xml:space="preserve">125_MAS2_1_A4_DT</t>
  </si>
  <si>
    <t xml:space="preserve">N135271</t>
  </si>
  <si>
    <t xml:space="preserve">126_MAS2_1_A5_DT</t>
  </si>
  <si>
    <t xml:space="preserve">N135272</t>
  </si>
  <si>
    <t xml:space="preserve">142_MAS2_3_A1_DT</t>
  </si>
  <si>
    <t xml:space="preserve">N135273</t>
  </si>
  <si>
    <t xml:space="preserve">143_MAS2_3_A2_DT</t>
  </si>
  <si>
    <t xml:space="preserve">N135274</t>
  </si>
  <si>
    <t xml:space="preserve">144_MAS2_3_A3_DT</t>
  </si>
  <si>
    <t xml:space="preserve">N135275</t>
  </si>
  <si>
    <t xml:space="preserve">145_MAS2_3_A4_DT</t>
  </si>
  <si>
    <t xml:space="preserve">N135276</t>
  </si>
  <si>
    <t xml:space="preserve">146_MAS2_3_A5_DT</t>
  </si>
  <si>
    <t xml:space="preserve">N135277</t>
  </si>
  <si>
    <t xml:space="preserve">162_MAS2_5_A1_DT</t>
  </si>
  <si>
    <t xml:space="preserve">N135278</t>
  </si>
  <si>
    <t xml:space="preserve">163_MAS2_5_A2_DT</t>
  </si>
  <si>
    <t xml:space="preserve">N135279</t>
  </si>
  <si>
    <t xml:space="preserve">164_MAS2_5_A3_DT</t>
  </si>
  <si>
    <t xml:space="preserve">N135280</t>
  </si>
  <si>
    <t xml:space="preserve">165_MAS2_5_A4_DT</t>
  </si>
  <si>
    <t xml:space="preserve">N135281</t>
  </si>
  <si>
    <t xml:space="preserve">166_MAS2_5_A5_DT</t>
  </si>
  <si>
    <t xml:space="preserve">N135282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</si>
</sst>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000"/>
    <numFmt numFmtId="168" formatCode="0.0"/>
    <numFmt numFmtId="169" formatCode="m/d/yyyy"/>
  </numFmts>
  <fonts count="2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0"/>
      <charset val="1"/>
    </font>
    <font>
      <sz val="12"/>
      <color theme="0"/>
      <name val="Aptos Narrow"/>
      <family val="0"/>
      <charset val="1"/>
    </font>
    <font>
      <sz val="12"/>
      <color rgb="FF9C0006"/>
      <name val="Aptos Narrow"/>
      <family val="0"/>
      <charset val="1"/>
    </font>
    <font>
      <b val="true"/>
      <sz val="12"/>
      <color rgb="FFFA7D00"/>
      <name val="Aptos Narrow"/>
      <family val="0"/>
      <charset val="1"/>
    </font>
    <font>
      <b val="true"/>
      <sz val="12"/>
      <color theme="0"/>
      <name val="Aptos Narrow"/>
      <family val="0"/>
      <charset val="1"/>
    </font>
    <font>
      <i val="true"/>
      <sz val="12"/>
      <color rgb="FF7F7F7F"/>
      <name val="Aptos Narrow"/>
      <family val="0"/>
      <charset val="1"/>
    </font>
    <font>
      <sz val="12"/>
      <color rgb="FF006100"/>
      <name val="Aptos Narrow"/>
      <family val="0"/>
      <charset val="1"/>
    </font>
    <font>
      <b val="true"/>
      <sz val="15"/>
      <color theme="3"/>
      <name val="Aptos Narrow"/>
      <family val="0"/>
      <charset val="1"/>
    </font>
    <font>
      <b val="true"/>
      <sz val="13"/>
      <color theme="3"/>
      <name val="Aptos Narrow"/>
      <family val="0"/>
      <charset val="1"/>
    </font>
    <font>
      <b val="true"/>
      <sz val="11"/>
      <color theme="3"/>
      <name val="Aptos Narrow"/>
      <family val="0"/>
      <charset val="1"/>
    </font>
    <font>
      <sz val="12"/>
      <color rgb="FF3F3F76"/>
      <name val="Aptos Narrow"/>
      <family val="0"/>
      <charset val="1"/>
    </font>
    <font>
      <sz val="12"/>
      <color rgb="FFFA7D00"/>
      <name val="Aptos Narrow"/>
      <family val="0"/>
      <charset val="1"/>
    </font>
    <font>
      <sz val="12"/>
      <color rgb="FF9C5700"/>
      <name val="Aptos Narrow"/>
      <family val="0"/>
      <charset val="1"/>
    </font>
    <font>
      <b val="true"/>
      <sz val="12"/>
      <color rgb="FF3F3F3F"/>
      <name val="Aptos Narrow"/>
      <family val="0"/>
      <charset val="1"/>
    </font>
    <font>
      <sz val="18"/>
      <color theme="3"/>
      <name val="Aptos Display"/>
      <family val="0"/>
      <charset val="1"/>
    </font>
    <font>
      <b val="true"/>
      <sz val="12"/>
      <color theme="1"/>
      <name val="Aptos Narrow"/>
      <family val="0"/>
      <charset val="1"/>
    </font>
    <font>
      <sz val="12"/>
      <color rgb="FFFF0000"/>
      <name val="Aptos Narrow"/>
      <family val="0"/>
      <charset val="1"/>
    </font>
    <font>
      <b val="true"/>
      <sz val="24"/>
      <color rgb="FF595959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"/>
        <bgColor rgb="FFCAEEFB"/>
      </patternFill>
    </fill>
    <fill>
      <patternFill patternType="solid">
        <fgColor theme="5" tint="0.7999"/>
        <bgColor rgb="FFF2F2F2"/>
      </patternFill>
    </fill>
    <fill>
      <patternFill patternType="solid">
        <fgColor theme="6" tint="0.7999"/>
        <bgColor rgb="FFC6EFCE"/>
      </patternFill>
    </fill>
    <fill>
      <patternFill patternType="solid">
        <fgColor theme="7" tint="0.7999"/>
        <bgColor rgb="FFC1E5F5"/>
      </patternFill>
    </fill>
    <fill>
      <patternFill patternType="solid">
        <fgColor theme="8" tint="0.7999"/>
        <bgColor rgb="FFFFC7CE"/>
      </patternFill>
    </fill>
    <fill>
      <patternFill patternType="solid">
        <fgColor theme="9" tint="0.7999"/>
        <bgColor rgb="FFC6EFCE"/>
      </patternFill>
    </fill>
    <fill>
      <patternFill patternType="solid">
        <fgColor theme="4" tint="0.5999"/>
        <bgColor rgb="FF96DCF8"/>
      </patternFill>
    </fill>
    <fill>
      <patternFill patternType="solid">
        <fgColor theme="5" tint="0.5999"/>
        <bgColor rgb="FFFFCC99"/>
      </patternFill>
    </fill>
    <fill>
      <patternFill patternType="solid">
        <fgColor theme="6" tint="0.5999"/>
        <bgColor rgb="FF8ED973"/>
      </patternFill>
    </fill>
    <fill>
      <patternFill patternType="solid">
        <fgColor theme="7" tint="0.5999"/>
        <bgColor rgb="FF83CBEB"/>
      </patternFill>
    </fill>
    <fill>
      <patternFill patternType="solid">
        <fgColor theme="8" tint="0.5999"/>
        <bgColor rgb="FFF2AA84"/>
      </patternFill>
    </fill>
    <fill>
      <patternFill patternType="solid">
        <fgColor theme="9" tint="0.5999"/>
        <bgColor rgb="FFC2F1C8"/>
      </patternFill>
    </fill>
    <fill>
      <patternFill patternType="solid">
        <fgColor theme="4" tint="0.3999"/>
        <bgColor rgb="FF64BEE6"/>
      </patternFill>
    </fill>
    <fill>
      <patternFill patternType="solid">
        <fgColor theme="5" tint="0.3999"/>
        <bgColor rgb="FFF6C6AD"/>
      </patternFill>
    </fill>
    <fill>
      <patternFill patternType="solid">
        <fgColor theme="6" tint="0.3999"/>
        <bgColor rgb="FF4EA72E"/>
      </patternFill>
    </fill>
    <fill>
      <patternFill patternType="solid">
        <fgColor theme="7" tint="0.3999"/>
        <bgColor rgb="FF64BEE6"/>
      </patternFill>
    </fill>
    <fill>
      <patternFill patternType="solid">
        <fgColor theme="8" tint="0.3999"/>
        <bgColor rgb="FFE59EDD"/>
      </patternFill>
    </fill>
    <fill>
      <patternFill patternType="solid">
        <fgColor theme="9" tint="0.3999"/>
        <bgColor rgb="FF84E291"/>
      </patternFill>
    </fill>
    <fill>
      <patternFill patternType="solid">
        <fgColor theme="4"/>
        <bgColor rgb="FF196B24"/>
      </patternFill>
    </fill>
    <fill>
      <patternFill patternType="solid">
        <fgColor theme="5"/>
        <bgColor rgb="FFFA7D00"/>
      </patternFill>
    </fill>
    <fill>
      <patternFill patternType="solid">
        <fgColor theme="6"/>
        <bgColor rgb="FF006100"/>
      </patternFill>
    </fill>
    <fill>
      <patternFill patternType="solid">
        <fgColor theme="7"/>
        <bgColor rgb="FF46B1E1"/>
      </patternFill>
    </fill>
    <fill>
      <patternFill patternType="solid">
        <fgColor theme="8"/>
        <bgColor rgb="FF800080"/>
      </patternFill>
    </fill>
    <fill>
      <patternFill patternType="solid">
        <fgColor theme="9"/>
        <bgColor rgb="FF47D45A"/>
      </patternFill>
    </fill>
    <fill>
      <patternFill patternType="solid">
        <fgColor rgb="FFFFC7CE"/>
        <bgColor rgb="FFF6C6AD"/>
      </patternFill>
    </fill>
    <fill>
      <patternFill patternType="solid">
        <fgColor rgb="FFF2F2F2"/>
        <bgColor rgb="FFFFFFFF"/>
      </patternFill>
    </fill>
    <fill>
      <patternFill patternType="solid">
        <fgColor rgb="FFA5A5A5"/>
        <bgColor rgb="FFB2B2B2"/>
      </patternFill>
    </fill>
    <fill>
      <patternFill patternType="solid">
        <fgColor rgb="FFC6EFCE"/>
        <bgColor rgb="FFC2F1C8"/>
      </patternFill>
    </fill>
    <fill>
      <patternFill patternType="solid">
        <fgColor rgb="FFFFCC99"/>
        <bgColor rgb="FFF6C6AD"/>
      </patternFill>
    </fill>
    <fill>
      <patternFill patternType="solid">
        <fgColor rgb="FFFFEB9C"/>
        <bgColor rgb="FFFBE3D6"/>
      </patternFill>
    </fill>
    <fill>
      <patternFill patternType="solid">
        <fgColor rgb="FFFFFFCC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/>
      <right/>
      <top/>
      <bottom style="medium">
        <color theme="4" tint="0.3999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</borders>
  <cellStyleXfs count="6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20" borderId="0" applyFont="true" applyBorder="false" applyAlignment="false" applyProtection="false"/>
    <xf numFmtId="164" fontId="5" fillId="21" borderId="0" applyFont="true" applyBorder="false" applyAlignment="false" applyProtection="false"/>
    <xf numFmtId="164" fontId="5" fillId="22" borderId="0" applyFont="true" applyBorder="false" applyAlignment="false" applyProtection="false"/>
    <xf numFmtId="164" fontId="5" fillId="23" borderId="0" applyFont="true" applyBorder="false" applyAlignment="false" applyProtection="false"/>
    <xf numFmtId="164" fontId="5" fillId="24" borderId="0" applyFont="true" applyBorder="false" applyAlignment="false" applyProtection="false"/>
    <xf numFmtId="164" fontId="5" fillId="25" borderId="0" applyFont="true" applyBorder="false" applyAlignment="false" applyProtection="false"/>
    <xf numFmtId="164" fontId="6" fillId="26" borderId="0" applyFont="true" applyBorder="false" applyAlignment="false" applyProtection="false"/>
    <xf numFmtId="164" fontId="7" fillId="27" borderId="1" applyFont="true" applyBorder="true" applyAlignment="false" applyProtection="false"/>
    <xf numFmtId="164" fontId="8" fillId="28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29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30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31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2" borderId="7" applyFont="false" applyBorder="true" applyAlignment="false" applyProtection="false"/>
    <xf numFmtId="164" fontId="17" fillId="27" borderId="8" applyFont="true" applyBorder="true" applyAlignment="false" applyProtection="false"/>
    <xf numFmtId="164" fontId="18" fillId="0" borderId="0" applyFont="true" applyBorder="false" applyAlignment="false" applyProtection="false"/>
    <xf numFmtId="164" fontId="19" fillId="0" borderId="9" applyFont="true" applyBorder="true" applyAlignment="false" applyProtection="false"/>
    <xf numFmtId="164" fontId="20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5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5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5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5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5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0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0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1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1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1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2" xfId="48"/>
    <cellStyle name="Heading 1 3" xfId="49"/>
    <cellStyle name="Heading 2 4" xfId="50"/>
    <cellStyle name="Heading 3" xfId="51"/>
    <cellStyle name="Heading 4" xfId="52"/>
    <cellStyle name="Input" xfId="53"/>
    <cellStyle name="Linked Cell" xfId="54"/>
    <cellStyle name="Neutral 5" xfId="55"/>
    <cellStyle name="Normal" xfId="56"/>
    <cellStyle name="Note 6" xfId="57"/>
    <cellStyle name="Output" xfId="58"/>
    <cellStyle name="Title" xfId="59"/>
    <cellStyle name="Total" xfId="60"/>
    <cellStyle name="Warning Text" xfId="61"/>
  </cellStyles>
  <colors>
    <indexedColors>
      <rgbColor rgb="FF000000"/>
      <rgbColor rgb="FFFFFFFF"/>
      <rgbColor rgb="FFFF0000"/>
      <rgbColor rgb="FF47D45A"/>
      <rgbColor rgb="FF0000FF"/>
      <rgbColor rgb="FFB4E5A2"/>
      <rgbColor rgb="FFF2CFEE"/>
      <rgbColor rgb="FF61CBF4"/>
      <rgbColor rgb="FF9C0006"/>
      <rgbColor rgb="FF006100"/>
      <rgbColor rgb="FF000080"/>
      <rgbColor rgb="FF84E291"/>
      <rgbColor rgb="FF800080"/>
      <rgbColor rgb="FF156082"/>
      <rgbColor rgb="FFBFBFBF"/>
      <rgbColor rgb="FF7F7F7F"/>
      <rgbColor rgb="FFB2B2B2"/>
      <rgbColor rgb="FFA02B93"/>
      <rgbColor rgb="FFFFFFCC"/>
      <rgbColor rgb="FFCAEEFB"/>
      <rgbColor rgb="FF660066"/>
      <rgbColor rgb="FFE97132"/>
      <rgbColor rgb="FFC6EFCE"/>
      <rgbColor rgb="FFC1E5F5"/>
      <rgbColor rgb="FF000080"/>
      <rgbColor rgb="FFFBE3D6"/>
      <rgbColor rgb="FFF6C6AD"/>
      <rgbColor rgb="FF83CBEB"/>
      <rgbColor rgb="FF800080"/>
      <rgbColor rgb="FF800000"/>
      <rgbColor rgb="FF196B24"/>
      <rgbColor rgb="FF0000FF"/>
      <rgbColor rgb="FF0F9ED5"/>
      <rgbColor rgb="FFD9F2D0"/>
      <rgbColor rgb="FFC2F1C8"/>
      <rgbColor rgb="FFFFEB9C"/>
      <rgbColor rgb="FF96DCF8"/>
      <rgbColor rgb="FFE59EDD"/>
      <rgbColor rgb="FFD86ECC"/>
      <rgbColor rgb="FFFFCC99"/>
      <rgbColor rgb="FF64BEE6"/>
      <rgbColor rgb="FF46B1E1"/>
      <rgbColor rgb="FF8ED973"/>
      <rgbColor rgb="FFF2AA84"/>
      <rgbColor rgb="FFFF8001"/>
      <rgbColor rgb="FFFA7D00"/>
      <rgbColor rgb="FF595959"/>
      <rgbColor rgb="FFA5A5A5"/>
      <rgbColor rgb="FF0E2841"/>
      <rgbColor rgb="FF4EA72E"/>
      <rgbColor rgb="FF003300"/>
      <rgbColor rgb="FFF2F2F2"/>
      <rgbColor rgb="FF9C5700"/>
      <rgbColor rgb="FFFFC7CE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14803625377644"/>
          <c:y val="0.0748616497450869"/>
          <c:w val="0.858665833246519"/>
          <c:h val="0.777593794936599"/>
        </c:manualLayout>
      </c:layout>
      <c:scatterChart>
        <c:scatterStyle val="lineMarker"/>
        <c:varyColors val="0"/>
        <c:ser>
          <c:idx val="0"/>
          <c:order val="0"/>
          <c:tx>
            <c:strRef>
              <c:f>"60 year (n=3)"</c:f>
              <c:strCache>
                <c:ptCount val="1"/>
                <c:pt idx="0">
                  <c:v>60 year (n=3)</c:v>
                </c:pt>
              </c:strCache>
            </c:strRef>
          </c:tx>
          <c:spPr>
            <a:ln w="50760">
              <a:solidFill>
                <a:schemeClr val="accent2"/>
              </a:solidFill>
              <a:round/>
            </a:ln>
          </c:spPr>
          <c:marker>
            <c:symbol val="circle"/>
            <c:size val="10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MAS!$N$2:$N$6</c:f>
              <c:numCache>
                <c:formatCode>0</c:formatCode>
                <c:ptCount val="5"/>
                <c:pt idx="0">
                  <c:v>15.9333333333333</c:v>
                </c:pt>
                <c:pt idx="1">
                  <c:v>-20.7333333333333</c:v>
                </c:pt>
                <c:pt idx="2">
                  <c:v>-147.533333333333</c:v>
                </c:pt>
                <c:pt idx="3">
                  <c:v>-139.3</c:v>
                </c:pt>
                <c:pt idx="4">
                  <c:v>-221.2</c:v>
                </c:pt>
              </c:numCache>
            </c:numRef>
          </c:xVal>
          <c:yVal>
            <c:numRef>
              <c:f>MAS!$M$2:$M$6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"20 year (n=3)"</c:f>
              <c:strCache>
                <c:ptCount val="1"/>
                <c:pt idx="0">
                  <c:v>20 year (n=3)</c:v>
                </c:pt>
              </c:strCache>
            </c:strRef>
          </c:tx>
          <c:spPr>
            <a:ln w="50760">
              <a:solidFill>
                <a:schemeClr val="accent6"/>
              </a:solidFill>
              <a:round/>
            </a:ln>
          </c:spPr>
          <c:marker>
            <c:symbol val="circle"/>
            <c:size val="10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MAS!$N$16:$N$20</c:f>
              <c:numCache>
                <c:formatCode>0</c:formatCode>
                <c:ptCount val="5"/>
                <c:pt idx="0">
                  <c:v>-1.4</c:v>
                </c:pt>
                <c:pt idx="1">
                  <c:v>14.8666666666667</c:v>
                </c:pt>
                <c:pt idx="2">
                  <c:v>-60</c:v>
                </c:pt>
                <c:pt idx="3">
                  <c:v>-102.233333333333</c:v>
                </c:pt>
                <c:pt idx="4">
                  <c:v>-114.833333333333</c:v>
                </c:pt>
              </c:numCache>
            </c:numRef>
          </c:xVal>
          <c:yVal>
            <c:numRef>
              <c:f>MAS!$M$16:$M$20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</c:ser>
        <c:axId val="50843968"/>
        <c:axId val="43228223"/>
      </c:scatterChart>
      <c:valAx>
        <c:axId val="508439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24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  <a:ea typeface="Calibri"/>
                  </a:rPr>
                  <a:t>Δ14C (‰)</a:t>
                </a:r>
              </a:p>
            </c:rich>
          </c:tx>
          <c:layout>
            <c:manualLayout>
              <c:xMode val="edge"/>
              <c:yMode val="edge"/>
              <c:x val="0.479008230023961"/>
              <c:y val="0.933068979040481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24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Calibri"/>
              </a:defRPr>
            </a:pPr>
          </a:p>
        </c:txPr>
        <c:crossAx val="43228223"/>
        <c:crosses val="max"/>
        <c:crossBetween val="midCat"/>
      </c:valAx>
      <c:valAx>
        <c:axId val="43228223"/>
        <c:scaling>
          <c:orientation val="maxMin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24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  <a:ea typeface="Calibri"/>
                  </a:rPr>
                  <a:t>Depth (cm)</a:t>
                </a:r>
              </a:p>
            </c:rich>
          </c:tx>
          <c:layout>
            <c:manualLayout>
              <c:xMode val="edge"/>
              <c:yMode val="edge"/>
              <c:x val="0.00222245372781887"/>
              <c:y val="0.40328554621116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24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Calibri"/>
              </a:defRPr>
            </a:pPr>
          </a:p>
        </c:txPr>
        <c:crossAx val="50843968"/>
        <c:crossesAt val="-300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147847376268228"/>
          <c:y val="0.0684396826024897"/>
          <c:w val="0.182712011135035"/>
          <c:h val="0.13427787556410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2400" b="1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15901060070671"/>
          <c:y val="0.0749084887571902"/>
          <c:w val="0.850035335689046"/>
          <c:h val="0.785384347219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"60 year (n=3)"</c:f>
              <c:strCache>
                <c:ptCount val="1"/>
                <c:pt idx="0">
                  <c:v>60 year (n=3)</c:v>
                </c:pt>
              </c:strCache>
            </c:strRef>
          </c:tx>
          <c:spPr>
            <a:ln w="50760">
              <a:solidFill>
                <a:schemeClr val="accent2"/>
              </a:solidFill>
              <a:round/>
            </a:ln>
          </c:spPr>
          <c:marker>
            <c:symbol val="circle"/>
            <c:size val="10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MAS!$Q$2:$Q$6</c:f>
              <c:numCache>
                <c:formatCode>0.00</c:formatCode>
                <c:ptCount val="5"/>
                <c:pt idx="0">
                  <c:v>1.17666666666667</c:v>
                </c:pt>
                <c:pt idx="1">
                  <c:v>0.313333333333333</c:v>
                </c:pt>
                <c:pt idx="2">
                  <c:v>0.14</c:v>
                </c:pt>
                <c:pt idx="3">
                  <c:v>0.133333333333333</c:v>
                </c:pt>
                <c:pt idx="4">
                  <c:v>0.09</c:v>
                </c:pt>
              </c:numCache>
            </c:numRef>
          </c:xVal>
          <c:yVal>
            <c:numRef>
              <c:f>MAS!$M$2:$M$6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"20 year (n=3)"</c:f>
              <c:strCache>
                <c:ptCount val="1"/>
                <c:pt idx="0">
                  <c:v>20 year (n=3)</c:v>
                </c:pt>
              </c:strCache>
            </c:strRef>
          </c:tx>
          <c:spPr>
            <a:ln w="50760">
              <a:solidFill>
                <a:schemeClr val="accent6"/>
              </a:solidFill>
              <a:round/>
            </a:ln>
          </c:spPr>
          <c:marker>
            <c:symbol val="circle"/>
            <c:size val="10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MAS!$Q$16:$Q$20</c:f>
              <c:numCache>
                <c:formatCode>0.00</c:formatCode>
                <c:ptCount val="5"/>
                <c:pt idx="0">
                  <c:v>1.02</c:v>
                </c:pt>
                <c:pt idx="1">
                  <c:v>0.526666666666667</c:v>
                </c:pt>
                <c:pt idx="2">
                  <c:v>0.223333333333333</c:v>
                </c:pt>
                <c:pt idx="3">
                  <c:v>0.213333333333333</c:v>
                </c:pt>
                <c:pt idx="4">
                  <c:v>0.143333333333333</c:v>
                </c:pt>
              </c:numCache>
            </c:numRef>
          </c:xVal>
          <c:yVal>
            <c:numRef>
              <c:f>MAS!$M$16:$M$20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</c:ser>
        <c:axId val="26457119"/>
        <c:axId val="5141910"/>
      </c:scatterChart>
      <c:valAx>
        <c:axId val="264571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24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  <a:ea typeface="Calibri"/>
                  </a:rPr>
                  <a:t>C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24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Calibri"/>
              </a:defRPr>
            </a:pPr>
          </a:p>
        </c:txPr>
        <c:crossAx val="5141910"/>
        <c:crosses val="max"/>
        <c:crossBetween val="midCat"/>
      </c:valAx>
      <c:valAx>
        <c:axId val="5141910"/>
        <c:scaling>
          <c:orientation val="maxMin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24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  <a:ea typeface="Calibri"/>
                  </a:rPr>
                  <a:t>Depth (cm)</a:t>
                </a:r>
              </a:p>
            </c:rich>
          </c:tx>
          <c:layout>
            <c:manualLayout>
              <c:xMode val="edge"/>
              <c:yMode val="edge"/>
              <c:x val="0.00222614840989399"/>
              <c:y val="0.40325954331532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24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Calibri"/>
              </a:defRPr>
            </a:pPr>
          </a:p>
        </c:txPr>
        <c:crossAx val="26457119"/>
        <c:crossesAt val="-300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12890617808606"/>
          <c:y val="0.525198178409108"/>
          <c:w val="0.182712011135035"/>
          <c:h val="0.1454721417011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2400" b="1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14803625377644"/>
          <c:y val="0.0748465189184482"/>
          <c:w val="0.858665833246519"/>
          <c:h val="0.777593939130056"/>
        </c:manualLayout>
      </c:layout>
      <c:scatterChart>
        <c:scatterStyle val="lineMarker"/>
        <c:varyColors val="0"/>
        <c:ser>
          <c:idx val="0"/>
          <c:order val="0"/>
          <c:tx>
            <c:strRef>
              <c:f>"MAS60-1"</c:f>
              <c:strCache>
                <c:ptCount val="1"/>
                <c:pt idx="0">
                  <c:v>MAS60-1</c:v>
                </c:pt>
              </c:strCache>
            </c:strRef>
          </c:tx>
          <c:spPr>
            <a:ln w="38160">
              <a:solidFill>
                <a:schemeClr val="accent2"/>
              </a:solidFill>
              <a:round/>
            </a:ln>
          </c:spPr>
          <c:marker>
            <c:symbol val="square"/>
            <c:size val="10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MAS!$H$2:$H$6</c:f>
              <c:numCache>
                <c:formatCode>General</c:formatCode>
                <c:ptCount val="5"/>
                <c:pt idx="0">
                  <c:v>8.3</c:v>
                </c:pt>
                <c:pt idx="1">
                  <c:v>-11</c:v>
                </c:pt>
                <c:pt idx="2">
                  <c:v>-170.3</c:v>
                </c:pt>
                <c:pt idx="3">
                  <c:v>-144.8</c:v>
                </c:pt>
                <c:pt idx="4">
                  <c:v>-251.1</c:v>
                </c:pt>
              </c:numCache>
            </c:numRef>
          </c:xVal>
          <c:yVal>
            <c:numRef>
              <c:f>MAS!$M$2:$M$6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"MAS60-3"</c:f>
              <c:strCache>
                <c:ptCount val="1"/>
                <c:pt idx="0">
                  <c:v>MAS60-3</c:v>
                </c:pt>
              </c:strCache>
            </c:strRef>
          </c:tx>
          <c:spPr>
            <a:ln w="38160">
              <a:solidFill>
                <a:srgbClr val="E97132"/>
              </a:solidFill>
              <a:round/>
            </a:ln>
          </c:spPr>
          <c:marker>
            <c:symbol val="circle"/>
            <c:size val="10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MAS!$H$7:$H$11</c:f>
              <c:numCache>
                <c:formatCode>General</c:formatCode>
                <c:ptCount val="5"/>
                <c:pt idx="0">
                  <c:v>19</c:v>
                </c:pt>
                <c:pt idx="1">
                  <c:v>-7.7</c:v>
                </c:pt>
                <c:pt idx="2">
                  <c:v>-124.9</c:v>
                </c:pt>
                <c:pt idx="3">
                  <c:v>-157.7</c:v>
                </c:pt>
                <c:pt idx="4">
                  <c:v>-191.3</c:v>
                </c:pt>
              </c:numCache>
            </c:numRef>
          </c:xVal>
          <c:yVal>
            <c:numRef>
              <c:f>MAS!$M$7:$M$11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"MAS60-5"</c:f>
              <c:strCache>
                <c:ptCount val="1"/>
                <c:pt idx="0">
                  <c:v>MAS60-5</c:v>
                </c:pt>
              </c:strCache>
            </c:strRef>
          </c:tx>
          <c:spPr>
            <a:ln w="38160">
              <a:solidFill>
                <a:schemeClr val="accent2"/>
              </a:solidFill>
              <a:round/>
            </a:ln>
          </c:spPr>
          <c:marker>
            <c:symbol val="triangle"/>
            <c:size val="10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MAS!$H$12:$H$15</c:f>
              <c:numCache>
                <c:formatCode>General</c:formatCode>
                <c:ptCount val="4"/>
                <c:pt idx="0">
                  <c:v>20.5</c:v>
                </c:pt>
                <c:pt idx="1">
                  <c:v>-43.5</c:v>
                </c:pt>
                <c:pt idx="2">
                  <c:v>-147.4</c:v>
                </c:pt>
                <c:pt idx="3">
                  <c:v>-115.4</c:v>
                </c:pt>
              </c:numCache>
            </c:numRef>
          </c:xVal>
          <c:yVal>
            <c:numRef>
              <c:f>MAS!$M$12:$M$15</c:f>
              <c:numCache>
                <c:formatCode>General</c:formatCode>
                <c:ptCount val="4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"MAS20-1"</c:f>
              <c:strCache>
                <c:ptCount val="1"/>
                <c:pt idx="0">
                  <c:v>MAS20-1</c:v>
                </c:pt>
              </c:strCache>
            </c:strRef>
          </c:tx>
          <c:spPr>
            <a:ln w="38160">
              <a:solidFill>
                <a:schemeClr val="accent6"/>
              </a:solidFill>
              <a:round/>
            </a:ln>
          </c:spPr>
          <c:marker>
            <c:symbol val="circle"/>
            <c:size val="10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MAS!$H$16:$H$20</c:f>
              <c:numCache>
                <c:formatCode>General</c:formatCode>
                <c:ptCount val="5"/>
                <c:pt idx="0">
                  <c:v>8.4</c:v>
                </c:pt>
                <c:pt idx="1">
                  <c:v>11.3</c:v>
                </c:pt>
                <c:pt idx="2">
                  <c:v>-104.8</c:v>
                </c:pt>
                <c:pt idx="3">
                  <c:v>-66.9</c:v>
                </c:pt>
                <c:pt idx="4">
                  <c:v>-82</c:v>
                </c:pt>
              </c:numCache>
            </c:numRef>
          </c:xVal>
          <c:yVal>
            <c:numRef>
              <c:f>MAS!$M$16:$M$20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"MAS20-3"</c:f>
              <c:strCache>
                <c:ptCount val="1"/>
                <c:pt idx="0">
                  <c:v>MAS20-3</c:v>
                </c:pt>
              </c:strCache>
            </c:strRef>
          </c:tx>
          <c:spPr>
            <a:ln w="38160">
              <a:solidFill>
                <a:schemeClr val="accent6"/>
              </a:solidFill>
              <a:round/>
            </a:ln>
          </c:spPr>
          <c:marker>
            <c:symbol val="square"/>
            <c:size val="10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MAS!$H$21:$H$25</c:f>
              <c:numCache>
                <c:formatCode>General</c:formatCode>
                <c:ptCount val="5"/>
                <c:pt idx="0">
                  <c:v>-11.5</c:v>
                </c:pt>
                <c:pt idx="1">
                  <c:v>13.2</c:v>
                </c:pt>
                <c:pt idx="2">
                  <c:v>-49.9</c:v>
                </c:pt>
                <c:pt idx="3">
                  <c:v>-192.9</c:v>
                </c:pt>
                <c:pt idx="4">
                  <c:v>-173.5</c:v>
                </c:pt>
              </c:numCache>
            </c:numRef>
          </c:xVal>
          <c:yVal>
            <c:numRef>
              <c:f>MAS!$M$21:$M$25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"MAS20-5"</c:f>
              <c:strCache>
                <c:ptCount val="1"/>
                <c:pt idx="0">
                  <c:v>MAS20-5</c:v>
                </c:pt>
              </c:strCache>
            </c:strRef>
          </c:tx>
          <c:spPr>
            <a:ln w="38160">
              <a:solidFill>
                <a:srgbClr val="4EA72E"/>
              </a:solidFill>
              <a:round/>
            </a:ln>
          </c:spPr>
          <c:marker>
            <c:symbol val="triangle"/>
            <c:size val="10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MAS!$H$26:$H$30</c:f>
              <c:numCache>
                <c:formatCode>General</c:formatCode>
                <c:ptCount val="5"/>
                <c:pt idx="0">
                  <c:v>-1.1</c:v>
                </c:pt>
                <c:pt idx="1">
                  <c:v>20.1</c:v>
                </c:pt>
                <c:pt idx="2">
                  <c:v>-25.3</c:v>
                </c:pt>
                <c:pt idx="3">
                  <c:v>-46.9</c:v>
                </c:pt>
                <c:pt idx="4">
                  <c:v>-89</c:v>
                </c:pt>
              </c:numCache>
            </c:numRef>
          </c:xVal>
          <c:yVal>
            <c:numRef>
              <c:f>MAS!$M$26:$M$30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</c:ser>
        <c:axId val="15600528"/>
        <c:axId val="23863284"/>
      </c:scatterChart>
      <c:valAx>
        <c:axId val="156005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24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  <a:ea typeface="Calibri"/>
                  </a:rPr>
                  <a:t>Δ14C (‰)</a:t>
                </a:r>
              </a:p>
            </c:rich>
          </c:tx>
          <c:layout>
            <c:manualLayout>
              <c:xMode val="edge"/>
              <c:yMode val="edge"/>
              <c:x val="0.479008230023961"/>
              <c:y val="0.93307789437018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24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Calibri"/>
              </a:defRPr>
            </a:pPr>
          </a:p>
        </c:txPr>
        <c:crossAx val="23863284"/>
        <c:crosses val="max"/>
        <c:crossBetween val="midCat"/>
      </c:valAx>
      <c:valAx>
        <c:axId val="23863284"/>
        <c:scaling>
          <c:orientation val="maxMin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24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  <a:ea typeface="Calibri"/>
                  </a:rPr>
                  <a:t>Depth (cm)</a:t>
                </a:r>
              </a:p>
            </c:rich>
          </c:tx>
          <c:layout>
            <c:manualLayout>
              <c:xMode val="edge"/>
              <c:yMode val="edge"/>
              <c:x val="0.00222245372781887"/>
              <c:y val="0.40327426307310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24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Calibri"/>
              </a:defRPr>
            </a:pPr>
          </a:p>
        </c:txPr>
        <c:crossAx val="15600528"/>
        <c:crossesAt val="-300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136997207657372"/>
          <c:y val="0.0759380725907444"/>
          <c:w val="0.135837497348767"/>
          <c:h val="0.32148035757806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2400" b="1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1479963886381"/>
          <c:y val="0.074850950868184"/>
          <c:w val="0.858670741023682"/>
          <c:h val="0.777623047129988"/>
        </c:manualLayout>
      </c:layout>
      <c:scatterChart>
        <c:scatterStyle val="lineMarker"/>
        <c:varyColors val="0"/>
        <c:ser>
          <c:idx val="0"/>
          <c:order val="0"/>
          <c:tx>
            <c:strRef>
              <c:f>"MAS60-1"</c:f>
              <c:strCache>
                <c:ptCount val="1"/>
                <c:pt idx="0">
                  <c:v>MAS60-1</c:v>
                </c:pt>
              </c:strCache>
            </c:strRef>
          </c:tx>
          <c:spPr>
            <a:ln w="38160">
              <a:solidFill>
                <a:schemeClr val="accent2"/>
              </a:solidFill>
              <a:round/>
            </a:ln>
          </c:spPr>
          <c:marker>
            <c:symbol val="square"/>
            <c:size val="10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MAS!$P$2:$P$6</c:f>
              <c:numCache>
                <c:formatCode>General</c:formatCode>
                <c:ptCount val="5"/>
                <c:pt idx="0">
                  <c:v>1.36</c:v>
                </c:pt>
                <c:pt idx="1">
                  <c:v>0.46</c:v>
                </c:pt>
                <c:pt idx="2">
                  <c:v>0.15</c:v>
                </c:pt>
                <c:pt idx="3">
                  <c:v>0.14</c:v>
                </c:pt>
                <c:pt idx="4">
                  <c:v>0.09</c:v>
                </c:pt>
              </c:numCache>
            </c:numRef>
          </c:xVal>
          <c:yVal>
            <c:numRef>
              <c:f>MAS!$M$2:$M$6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"MAS60-3"</c:f>
              <c:strCache>
                <c:ptCount val="1"/>
                <c:pt idx="0">
                  <c:v>MAS60-3</c:v>
                </c:pt>
              </c:strCache>
            </c:strRef>
          </c:tx>
          <c:spPr>
            <a:ln w="38160">
              <a:solidFill>
                <a:srgbClr val="E97132"/>
              </a:solidFill>
              <a:round/>
            </a:ln>
          </c:spPr>
          <c:marker>
            <c:symbol val="circle"/>
            <c:size val="10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MAS!$P$7:$P$11</c:f>
              <c:numCache>
                <c:formatCode>General</c:formatCode>
                <c:ptCount val="5"/>
                <c:pt idx="0">
                  <c:v>1.04</c:v>
                </c:pt>
                <c:pt idx="1">
                  <c:v>0.26</c:v>
                </c:pt>
                <c:pt idx="2">
                  <c:v>0.15</c:v>
                </c:pt>
                <c:pt idx="3">
                  <c:v>0.11</c:v>
                </c:pt>
                <c:pt idx="4">
                  <c:v>0.09</c:v>
                </c:pt>
              </c:numCache>
            </c:numRef>
          </c:xVal>
          <c:yVal>
            <c:numRef>
              <c:f>MAS!$M$7:$M$11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"MAS60-5"</c:f>
              <c:strCache>
                <c:ptCount val="1"/>
                <c:pt idx="0">
                  <c:v>MAS60-5</c:v>
                </c:pt>
              </c:strCache>
            </c:strRef>
          </c:tx>
          <c:spPr>
            <a:ln w="38160">
              <a:solidFill>
                <a:schemeClr val="accent2"/>
              </a:solidFill>
              <a:round/>
            </a:ln>
          </c:spPr>
          <c:marker>
            <c:symbol val="triangle"/>
            <c:size val="10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MAS!$P$12:$P$15</c:f>
              <c:numCache>
                <c:formatCode>General</c:formatCode>
                <c:ptCount val="4"/>
                <c:pt idx="0">
                  <c:v>1.13</c:v>
                </c:pt>
                <c:pt idx="1">
                  <c:v>0.22</c:v>
                </c:pt>
                <c:pt idx="2">
                  <c:v>0.12</c:v>
                </c:pt>
                <c:pt idx="3">
                  <c:v>0.15</c:v>
                </c:pt>
              </c:numCache>
            </c:numRef>
          </c:xVal>
          <c:yVal>
            <c:numRef>
              <c:f>MAS!$M$12:$M$15</c:f>
              <c:numCache>
                <c:formatCode>General</c:formatCode>
                <c:ptCount val="4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"MAS20-1"</c:f>
              <c:strCache>
                <c:ptCount val="1"/>
                <c:pt idx="0">
                  <c:v>MAS20-1</c:v>
                </c:pt>
              </c:strCache>
            </c:strRef>
          </c:tx>
          <c:spPr>
            <a:ln w="38160">
              <a:solidFill>
                <a:schemeClr val="accent6"/>
              </a:solidFill>
              <a:round/>
            </a:ln>
          </c:spPr>
          <c:marker>
            <c:symbol val="circle"/>
            <c:size val="10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MAS!$P$16:$P$20</c:f>
              <c:numCache>
                <c:formatCode>General</c:formatCode>
                <c:ptCount val="5"/>
                <c:pt idx="0">
                  <c:v>1.03</c:v>
                </c:pt>
                <c:pt idx="1">
                  <c:v>0.31</c:v>
                </c:pt>
                <c:pt idx="2">
                  <c:v>0.16</c:v>
                </c:pt>
                <c:pt idx="3">
                  <c:v>0.21</c:v>
                </c:pt>
                <c:pt idx="4">
                  <c:v>0.2</c:v>
                </c:pt>
              </c:numCache>
            </c:numRef>
          </c:xVal>
          <c:yVal>
            <c:numRef>
              <c:f>MAS!$M$16:$M$20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"MAS20-3"</c:f>
              <c:strCache>
                <c:ptCount val="1"/>
                <c:pt idx="0">
                  <c:v>MAS20-3</c:v>
                </c:pt>
              </c:strCache>
            </c:strRef>
          </c:tx>
          <c:spPr>
            <a:ln w="38160">
              <a:solidFill>
                <a:schemeClr val="accent6"/>
              </a:solidFill>
              <a:round/>
            </a:ln>
          </c:spPr>
          <c:marker>
            <c:symbol val="square"/>
            <c:size val="10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MAS!$P$21:$P$25</c:f>
              <c:numCache>
                <c:formatCode>General</c:formatCode>
                <c:ptCount val="5"/>
                <c:pt idx="0">
                  <c:v>1.02</c:v>
                </c:pt>
                <c:pt idx="1">
                  <c:v>0.62</c:v>
                </c:pt>
                <c:pt idx="2">
                  <c:v>0.23</c:v>
                </c:pt>
                <c:pt idx="3">
                  <c:v>0.13</c:v>
                </c:pt>
                <c:pt idx="4">
                  <c:v>0.1</c:v>
                </c:pt>
              </c:numCache>
            </c:numRef>
          </c:xVal>
          <c:yVal>
            <c:numRef>
              <c:f>MAS!$M$21:$M$25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"MAS20-5"</c:f>
              <c:strCache>
                <c:ptCount val="1"/>
                <c:pt idx="0">
                  <c:v>MAS20-5</c:v>
                </c:pt>
              </c:strCache>
            </c:strRef>
          </c:tx>
          <c:spPr>
            <a:ln w="38160">
              <a:solidFill>
                <a:srgbClr val="4EA72E"/>
              </a:solidFill>
              <a:round/>
            </a:ln>
          </c:spPr>
          <c:marker>
            <c:symbol val="triangle"/>
            <c:size val="10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MAS!$P$26:$P$30</c:f>
              <c:numCache>
                <c:formatCode>General</c:formatCode>
                <c:ptCount val="5"/>
                <c:pt idx="0">
                  <c:v>1.01</c:v>
                </c:pt>
                <c:pt idx="1">
                  <c:v>0.65</c:v>
                </c:pt>
                <c:pt idx="2">
                  <c:v>0.28</c:v>
                </c:pt>
                <c:pt idx="3">
                  <c:v>0.3</c:v>
                </c:pt>
                <c:pt idx="4">
                  <c:v>0.13</c:v>
                </c:pt>
              </c:numCache>
            </c:numRef>
          </c:xVal>
          <c:yVal>
            <c:numRef>
              <c:f>MAS!$M$26:$M$30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</c:ser>
        <c:axId val="25537910"/>
        <c:axId val="13166211"/>
      </c:scatterChart>
      <c:valAx>
        <c:axId val="255379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24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  <a:ea typeface="Calibri"/>
                  </a:rPr>
                  <a:t>Δ14C (‰)</a:t>
                </a:r>
              </a:p>
            </c:rich>
          </c:tx>
          <c:layout>
            <c:manualLayout>
              <c:xMode val="edge"/>
              <c:yMode val="edge"/>
              <c:x val="0.479026321272311"/>
              <c:y val="0.93306932416554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24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Calibri"/>
              </a:defRPr>
            </a:pPr>
          </a:p>
        </c:txPr>
        <c:crossAx val="13166211"/>
        <c:crosses val="max"/>
        <c:crossBetween val="midCat"/>
      </c:valAx>
      <c:valAx>
        <c:axId val="13166211"/>
        <c:scaling>
          <c:orientation val="maxMin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24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  <a:ea typeface="Calibri"/>
                  </a:rPr>
                  <a:t>Depth (cm)</a:t>
                </a:r>
              </a:p>
            </c:rich>
          </c:tx>
          <c:layout>
            <c:manualLayout>
              <c:xMode val="edge"/>
              <c:yMode val="edge"/>
              <c:x val="0.00222237655392736"/>
              <c:y val="0.4032812567996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24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Calibri"/>
              </a:defRPr>
            </a:pPr>
          </a:p>
        </c:txPr>
        <c:crossAx val="25537910"/>
        <c:crossesAt val="-300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99807603134436"/>
          <c:y val="0.256548029390123"/>
          <c:w val="0.134038008046992"/>
          <c:h val="0.31608591203228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2400" b="1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ln w="936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103680</xdr:colOff>
      <xdr:row>1</xdr:row>
      <xdr:rowOff>0</xdr:rowOff>
    </xdr:from>
    <xdr:to>
      <xdr:col>32</xdr:col>
      <xdr:colOff>300240</xdr:colOff>
      <xdr:row>41</xdr:row>
      <xdr:rowOff>120240</xdr:rowOff>
    </xdr:to>
    <xdr:graphicFrame>
      <xdr:nvGraphicFramePr>
        <xdr:cNvPr id="1" name="Chart"/>
        <xdr:cNvGraphicFramePr/>
      </xdr:nvGraphicFramePr>
      <xdr:xfrm>
        <a:off x="14931720" y="203040"/>
        <a:ext cx="10366560" cy="8248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89280</xdr:colOff>
      <xdr:row>43</xdr:row>
      <xdr:rowOff>18000</xdr:rowOff>
    </xdr:from>
    <xdr:to>
      <xdr:col>32</xdr:col>
      <xdr:colOff>106920</xdr:colOff>
      <xdr:row>83</xdr:row>
      <xdr:rowOff>150840</xdr:rowOff>
    </xdr:to>
    <xdr:graphicFrame>
      <xdr:nvGraphicFramePr>
        <xdr:cNvPr id="2" name="Chart"/>
        <xdr:cNvGraphicFramePr/>
      </xdr:nvGraphicFramePr>
      <xdr:xfrm>
        <a:off x="14917320" y="8755560"/>
        <a:ext cx="10187640" cy="826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32</xdr:col>
      <xdr:colOff>554400</xdr:colOff>
      <xdr:row>1</xdr:row>
      <xdr:rowOff>125280</xdr:rowOff>
    </xdr:from>
    <xdr:to>
      <xdr:col>45</xdr:col>
      <xdr:colOff>750960</xdr:colOff>
      <xdr:row>42</xdr:row>
      <xdr:rowOff>48960</xdr:rowOff>
    </xdr:to>
    <xdr:graphicFrame>
      <xdr:nvGraphicFramePr>
        <xdr:cNvPr id="3" name="Chart"/>
        <xdr:cNvGraphicFramePr/>
      </xdr:nvGraphicFramePr>
      <xdr:xfrm>
        <a:off x="25552440" y="328320"/>
        <a:ext cx="10366560" cy="825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33</xdr:col>
      <xdr:colOff>0</xdr:colOff>
      <xdr:row>45</xdr:row>
      <xdr:rowOff>0</xdr:rowOff>
    </xdr:from>
    <xdr:to>
      <xdr:col>46</xdr:col>
      <xdr:colOff>196560</xdr:colOff>
      <xdr:row>85</xdr:row>
      <xdr:rowOff>144000</xdr:rowOff>
    </xdr:to>
    <xdr:graphicFrame>
      <xdr:nvGraphicFramePr>
        <xdr:cNvPr id="4" name="Chart"/>
        <xdr:cNvGraphicFramePr/>
      </xdr:nvGraphicFramePr>
      <xdr:xfrm>
        <a:off x="25780320" y="9144000"/>
        <a:ext cx="10366920" cy="827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015625" defaultRowHeight="16" customHeight="false" zeroHeight="false" outlineLevelRow="0" outlineLevelCol="0"/>
  <cols>
    <col collapsed="false" customWidth="true" hidden="false" outlineLevel="0" max="2" min="2" style="0" width="17.49"/>
    <col collapsed="false" customWidth="true" hidden="false" outlineLevel="0" max="4" min="4" style="0" width="4.37"/>
    <col collapsed="false" customWidth="true" hidden="false" outlineLevel="0" max="14" min="14" style="1" width="10.93"/>
    <col collapsed="false" customWidth="false" hidden="false" outlineLevel="0" max="15" min="15" style="2" width="11.1"/>
    <col collapsed="false" customWidth="false" hidden="false" outlineLevel="0" max="19" min="19" style="2" width="11.1"/>
  </cols>
  <sheetData>
    <row r="1" customFormat="false" ht="1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3" t="s">
        <v>6</v>
      </c>
      <c r="H1" s="4" t="s">
        <v>7</v>
      </c>
      <c r="I1" s="4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1" t="s">
        <v>13</v>
      </c>
      <c r="O1" s="4" t="s">
        <v>14</v>
      </c>
      <c r="P1" s="0" t="s">
        <v>15</v>
      </c>
      <c r="Q1" s="2" t="s">
        <v>16</v>
      </c>
      <c r="R1" s="0" t="s">
        <v>17</v>
      </c>
      <c r="S1" s="2" t="s">
        <v>18</v>
      </c>
    </row>
    <row r="2" customFormat="false" ht="16" hidden="false" customHeight="false" outlineLevel="0" collapsed="false">
      <c r="A2" s="0" t="n">
        <v>193557</v>
      </c>
      <c r="B2" s="0" t="s">
        <v>19</v>
      </c>
      <c r="C2" s="0" t="s">
        <v>20</v>
      </c>
      <c r="D2" s="0" t="n">
        <v>1</v>
      </c>
      <c r="E2" s="0" t="s">
        <v>21</v>
      </c>
      <c r="F2" s="0" t="n">
        <v>1.0174</v>
      </c>
      <c r="G2" s="0" t="n">
        <v>0.0033</v>
      </c>
      <c r="H2" s="0" t="n">
        <v>8.3</v>
      </c>
      <c r="I2" s="0" t="n">
        <v>3.3</v>
      </c>
      <c r="J2" s="5" t="n">
        <v>45522</v>
      </c>
      <c r="K2" s="0" t="n">
        <v>0</v>
      </c>
      <c r="L2" s="0" t="n">
        <v>10</v>
      </c>
      <c r="M2" s="0" t="n">
        <v>5</v>
      </c>
      <c r="N2" s="1" t="n">
        <f aca="false">AVERAGE(H2,H7,H12)</f>
        <v>15.9333333333333</v>
      </c>
      <c r="O2" s="2" t="n">
        <f aca="false">STDEV(H2,H7,H12)</f>
        <v>6.65306946704552</v>
      </c>
      <c r="P2" s="0" t="n">
        <v>1.36</v>
      </c>
      <c r="Q2" s="2" t="n">
        <f aca="false">AVERAGE(P2,P7,P12)</f>
        <v>1.17666666666667</v>
      </c>
      <c r="R2" s="0" t="n">
        <v>0.14</v>
      </c>
      <c r="S2" s="2" t="n">
        <f aca="false">P2/R2</f>
        <v>9.71428571428571</v>
      </c>
    </row>
    <row r="3" customFormat="false" ht="16" hidden="false" customHeight="false" outlineLevel="0" collapsed="false">
      <c r="A3" s="0" t="n">
        <v>193558</v>
      </c>
      <c r="B3" s="0" t="s">
        <v>22</v>
      </c>
      <c r="C3" s="0" t="s">
        <v>20</v>
      </c>
      <c r="D3" s="0" t="n">
        <v>1</v>
      </c>
      <c r="E3" s="0" t="s">
        <v>23</v>
      </c>
      <c r="F3" s="0" t="n">
        <v>0.9979</v>
      </c>
      <c r="G3" s="0" t="n">
        <v>0.0032</v>
      </c>
      <c r="H3" s="0" t="n">
        <v>-11</v>
      </c>
      <c r="I3" s="0" t="n">
        <v>3.2</v>
      </c>
      <c r="J3" s="5" t="n">
        <v>45522</v>
      </c>
      <c r="K3" s="0" t="n">
        <v>10</v>
      </c>
      <c r="L3" s="0" t="n">
        <v>20</v>
      </c>
      <c r="M3" s="0" t="n">
        <v>15</v>
      </c>
      <c r="N3" s="1" t="n">
        <f aca="false">AVERAGE(H3,H8,H13)</f>
        <v>-20.7333333333333</v>
      </c>
      <c r="O3" s="2" t="n">
        <f aca="false">STDEV(H3,H8,H13)</f>
        <v>19.7854323514381</v>
      </c>
      <c r="P3" s="0" t="n">
        <v>0.46</v>
      </c>
      <c r="Q3" s="2" t="n">
        <f aca="false">AVERAGE(P3,P8,P13)</f>
        <v>0.313333333333333</v>
      </c>
      <c r="R3" s="0" t="n">
        <v>0.04</v>
      </c>
      <c r="S3" s="2" t="n">
        <f aca="false">P3/R3</f>
        <v>11.5</v>
      </c>
    </row>
    <row r="4" customFormat="false" ht="16" hidden="false" customHeight="false" outlineLevel="0" collapsed="false">
      <c r="A4" s="0" t="n">
        <v>193559</v>
      </c>
      <c r="B4" s="0" t="s">
        <v>24</v>
      </c>
      <c r="C4" s="0" t="s">
        <v>20</v>
      </c>
      <c r="D4" s="0" t="n">
        <v>1</v>
      </c>
      <c r="E4" s="0" t="s">
        <v>25</v>
      </c>
      <c r="F4" s="0" t="n">
        <v>0.8372</v>
      </c>
      <c r="G4" s="0" t="n">
        <v>0.0028</v>
      </c>
      <c r="H4" s="0" t="n">
        <v>-170.3</v>
      </c>
      <c r="I4" s="0" t="n">
        <v>2.8</v>
      </c>
      <c r="J4" s="5" t="n">
        <v>45522</v>
      </c>
      <c r="K4" s="0" t="n">
        <v>20</v>
      </c>
      <c r="L4" s="0" t="n">
        <v>50</v>
      </c>
      <c r="M4" s="0" t="n">
        <v>35</v>
      </c>
      <c r="N4" s="1" t="n">
        <f aca="false">AVERAGE(H4,H9,H14)</f>
        <v>-147.533333333333</v>
      </c>
      <c r="O4" s="2" t="n">
        <f aca="false">STDEV(H4,H9,H14)</f>
        <v>22.7002936838565</v>
      </c>
      <c r="P4" s="0" t="n">
        <v>0.15</v>
      </c>
      <c r="Q4" s="2" t="n">
        <f aca="false">AVERAGE(P4,P9,P14)</f>
        <v>0.14</v>
      </c>
      <c r="R4" s="0" t="n">
        <v>0.01</v>
      </c>
      <c r="S4" s="2" t="n">
        <f aca="false">P4/R4</f>
        <v>15</v>
      </c>
    </row>
    <row r="5" customFormat="false" ht="16" hidden="false" customHeight="false" outlineLevel="0" collapsed="false">
      <c r="A5" s="0" t="n">
        <v>193682</v>
      </c>
      <c r="B5" s="0" t="s">
        <v>26</v>
      </c>
      <c r="C5" s="0" t="s">
        <v>20</v>
      </c>
      <c r="D5" s="0" t="n">
        <v>1</v>
      </c>
      <c r="E5" s="0" t="s">
        <v>27</v>
      </c>
      <c r="F5" s="0" t="n">
        <v>0.8629</v>
      </c>
      <c r="G5" s="0" t="n">
        <v>0.0031</v>
      </c>
      <c r="H5" s="0" t="n">
        <v>-144.8</v>
      </c>
      <c r="I5" s="0" t="n">
        <v>3.1</v>
      </c>
      <c r="J5" s="5" t="n">
        <v>45551</v>
      </c>
      <c r="K5" s="0" t="n">
        <v>50</v>
      </c>
      <c r="L5" s="0" t="n">
        <v>75</v>
      </c>
      <c r="M5" s="0" t="n">
        <v>62.5</v>
      </c>
      <c r="N5" s="1" t="n">
        <f aca="false">AVERAGE(H5,H10,H15)</f>
        <v>-139.3</v>
      </c>
      <c r="O5" s="2" t="n">
        <f aca="false">STDEV(H5,H10,H15)</f>
        <v>21.679714020254</v>
      </c>
      <c r="P5" s="0" t="n">
        <v>0.14</v>
      </c>
      <c r="Q5" s="2" t="n">
        <f aca="false">AVERAGE(P5,P10,P15)</f>
        <v>0.133333333333333</v>
      </c>
      <c r="R5" s="0" t="n">
        <v>0.02</v>
      </c>
      <c r="S5" s="2" t="n">
        <f aca="false">P5/R5</f>
        <v>7</v>
      </c>
    </row>
    <row r="6" customFormat="false" ht="16" hidden="false" customHeight="false" outlineLevel="0" collapsed="false">
      <c r="A6" s="6" t="n">
        <v>193683</v>
      </c>
      <c r="B6" s="6" t="s">
        <v>28</v>
      </c>
      <c r="C6" s="6" t="s">
        <v>20</v>
      </c>
      <c r="D6" s="6" t="n">
        <v>1</v>
      </c>
      <c r="E6" s="6" t="s">
        <v>29</v>
      </c>
      <c r="F6" s="6" t="n">
        <v>0.7556</v>
      </c>
      <c r="G6" s="6" t="n">
        <v>0.0027</v>
      </c>
      <c r="H6" s="6" t="n">
        <v>-251.1</v>
      </c>
      <c r="I6" s="6" t="n">
        <v>2.7</v>
      </c>
      <c r="J6" s="7" t="n">
        <v>45551</v>
      </c>
      <c r="K6" s="6" t="n">
        <v>75</v>
      </c>
      <c r="L6" s="6" t="n">
        <v>100</v>
      </c>
      <c r="M6" s="6" t="n">
        <v>87.5</v>
      </c>
      <c r="N6" s="8" t="n">
        <f aca="false">AVERAGE(H6,H11)</f>
        <v>-221.2</v>
      </c>
      <c r="O6" s="9" t="n">
        <f aca="false">STDEV(H6,H11)</f>
        <v>42.2849855149555</v>
      </c>
      <c r="P6" s="6" t="n">
        <v>0.09</v>
      </c>
      <c r="Q6" s="9" t="n">
        <f aca="false">AVERAGE(P6,P11)</f>
        <v>0.09</v>
      </c>
      <c r="R6" s="6" t="n">
        <v>0.01</v>
      </c>
      <c r="S6" s="9" t="n">
        <f aca="false">P6/R6</f>
        <v>9</v>
      </c>
    </row>
    <row r="7" customFormat="false" ht="16" hidden="false" customHeight="false" outlineLevel="0" collapsed="false">
      <c r="A7" s="0" t="n">
        <v>193560</v>
      </c>
      <c r="B7" s="0" t="s">
        <v>30</v>
      </c>
      <c r="C7" s="0" t="s">
        <v>20</v>
      </c>
      <c r="D7" s="0" t="n">
        <v>3</v>
      </c>
      <c r="E7" s="0" t="s">
        <v>31</v>
      </c>
      <c r="F7" s="0" t="n">
        <v>1.0281</v>
      </c>
      <c r="G7" s="0" t="n">
        <v>0.0034</v>
      </c>
      <c r="H7" s="0" t="n">
        <v>19</v>
      </c>
      <c r="I7" s="0" t="n">
        <v>3.4</v>
      </c>
      <c r="J7" s="5" t="n">
        <v>45522</v>
      </c>
      <c r="K7" s="0" t="n">
        <v>0</v>
      </c>
      <c r="L7" s="0" t="n">
        <v>10</v>
      </c>
      <c r="M7" s="0" t="n">
        <v>5</v>
      </c>
      <c r="P7" s="0" t="n">
        <v>1.04</v>
      </c>
      <c r="R7" s="0" t="n">
        <v>0.1</v>
      </c>
      <c r="S7" s="2" t="n">
        <f aca="false">P7/R7</f>
        <v>10.4</v>
      </c>
    </row>
    <row r="8" customFormat="false" ht="16" hidden="false" customHeight="false" outlineLevel="0" collapsed="false">
      <c r="A8" s="0" t="n">
        <v>193579</v>
      </c>
      <c r="B8" s="0" t="s">
        <v>32</v>
      </c>
      <c r="C8" s="0" t="s">
        <v>20</v>
      </c>
      <c r="D8" s="0" t="n">
        <v>3</v>
      </c>
      <c r="E8" s="0" t="s">
        <v>33</v>
      </c>
      <c r="F8" s="0" t="n">
        <v>1.0013</v>
      </c>
      <c r="G8" s="0" t="n">
        <v>0.0032</v>
      </c>
      <c r="H8" s="0" t="n">
        <v>-7.7</v>
      </c>
      <c r="I8" s="0" t="n">
        <v>3.2</v>
      </c>
      <c r="J8" s="5" t="n">
        <v>45531</v>
      </c>
      <c r="K8" s="0" t="n">
        <v>10</v>
      </c>
      <c r="L8" s="0" t="n">
        <v>20</v>
      </c>
      <c r="M8" s="0" t="n">
        <v>15</v>
      </c>
      <c r="P8" s="0" t="n">
        <v>0.26</v>
      </c>
      <c r="R8" s="0" t="n">
        <v>0.03</v>
      </c>
      <c r="S8" s="2" t="n">
        <f aca="false">P8/R8</f>
        <v>8.66666666666667</v>
      </c>
    </row>
    <row r="9" customFormat="false" ht="16" hidden="false" customHeight="false" outlineLevel="0" collapsed="false">
      <c r="A9" s="0" t="n">
        <v>193580</v>
      </c>
      <c r="B9" s="0" t="s">
        <v>34</v>
      </c>
      <c r="C9" s="0" t="s">
        <v>20</v>
      </c>
      <c r="D9" s="0" t="n">
        <v>3</v>
      </c>
      <c r="E9" s="0" t="s">
        <v>35</v>
      </c>
      <c r="F9" s="0" t="n">
        <v>0.8829</v>
      </c>
      <c r="G9" s="0" t="n">
        <v>0.0029</v>
      </c>
      <c r="H9" s="0" t="n">
        <v>-124.9</v>
      </c>
      <c r="I9" s="0" t="n">
        <v>2.9</v>
      </c>
      <c r="J9" s="5" t="n">
        <v>45531</v>
      </c>
      <c r="K9" s="0" t="n">
        <v>20</v>
      </c>
      <c r="L9" s="0" t="n">
        <v>50</v>
      </c>
      <c r="M9" s="0" t="n">
        <v>35</v>
      </c>
      <c r="P9" s="0" t="n">
        <v>0.15</v>
      </c>
      <c r="R9" s="0" t="n">
        <v>0.02</v>
      </c>
      <c r="S9" s="2" t="n">
        <f aca="false">P9/R9</f>
        <v>7.5</v>
      </c>
    </row>
    <row r="10" customFormat="false" ht="16" hidden="false" customHeight="false" outlineLevel="0" collapsed="false">
      <c r="A10" s="0" t="n">
        <v>193684</v>
      </c>
      <c r="B10" s="0" t="s">
        <v>36</v>
      </c>
      <c r="C10" s="0" t="s">
        <v>20</v>
      </c>
      <c r="D10" s="0" t="n">
        <v>3</v>
      </c>
      <c r="E10" s="0" t="s">
        <v>37</v>
      </c>
      <c r="F10" s="0" t="n">
        <v>0.8499</v>
      </c>
      <c r="G10" s="0" t="n">
        <v>0.003</v>
      </c>
      <c r="H10" s="0" t="n">
        <v>-157.7</v>
      </c>
      <c r="I10" s="0" t="n">
        <v>3</v>
      </c>
      <c r="J10" s="5" t="n">
        <v>45551</v>
      </c>
      <c r="K10" s="0" t="n">
        <v>50</v>
      </c>
      <c r="L10" s="0" t="n">
        <v>75</v>
      </c>
      <c r="M10" s="0" t="n">
        <v>62.5</v>
      </c>
      <c r="P10" s="0" t="n">
        <v>0.11</v>
      </c>
      <c r="R10" s="0" t="n">
        <v>0.01</v>
      </c>
      <c r="S10" s="2" t="n">
        <f aca="false">P10/R10</f>
        <v>11</v>
      </c>
    </row>
    <row r="11" customFormat="false" ht="16" hidden="false" customHeight="false" outlineLevel="0" collapsed="false">
      <c r="A11" s="6" t="n">
        <v>193685</v>
      </c>
      <c r="B11" s="6" t="s">
        <v>38</v>
      </c>
      <c r="C11" s="6" t="s">
        <v>20</v>
      </c>
      <c r="D11" s="6" t="n">
        <v>3</v>
      </c>
      <c r="E11" s="6" t="s">
        <v>39</v>
      </c>
      <c r="F11" s="6" t="n">
        <v>0.8159</v>
      </c>
      <c r="G11" s="6" t="n">
        <v>0.0035</v>
      </c>
      <c r="H11" s="6" t="n">
        <v>-191.3</v>
      </c>
      <c r="I11" s="6" t="n">
        <v>3.5</v>
      </c>
      <c r="J11" s="7" t="n">
        <v>45551</v>
      </c>
      <c r="K11" s="6" t="n">
        <v>75</v>
      </c>
      <c r="L11" s="6" t="n">
        <v>100</v>
      </c>
      <c r="M11" s="6" t="n">
        <v>87.5</v>
      </c>
      <c r="N11" s="8"/>
      <c r="O11" s="9"/>
      <c r="P11" s="6" t="n">
        <v>0.09</v>
      </c>
      <c r="Q11" s="6"/>
      <c r="R11" s="6" t="n">
        <v>0.01</v>
      </c>
      <c r="S11" s="9" t="n">
        <f aca="false">P11/R11</f>
        <v>9</v>
      </c>
    </row>
    <row r="12" customFormat="false" ht="16" hidden="false" customHeight="false" outlineLevel="0" collapsed="false">
      <c r="A12" s="0" t="n">
        <v>193561</v>
      </c>
      <c r="B12" s="0" t="s">
        <v>40</v>
      </c>
      <c r="C12" s="0" t="s">
        <v>20</v>
      </c>
      <c r="D12" s="0" t="n">
        <v>5</v>
      </c>
      <c r="E12" s="0" t="s">
        <v>41</v>
      </c>
      <c r="F12" s="0" t="n">
        <v>1.0297</v>
      </c>
      <c r="G12" s="0" t="n">
        <v>0.0034</v>
      </c>
      <c r="H12" s="0" t="n">
        <v>20.5</v>
      </c>
      <c r="I12" s="0" t="n">
        <v>3.4</v>
      </c>
      <c r="J12" s="5" t="n">
        <v>45522</v>
      </c>
      <c r="K12" s="0" t="n">
        <v>0</v>
      </c>
      <c r="L12" s="0" t="n">
        <v>10</v>
      </c>
      <c r="M12" s="0" t="n">
        <v>5</v>
      </c>
      <c r="P12" s="0" t="n">
        <v>1.13</v>
      </c>
      <c r="R12" s="0" t="n">
        <v>0.11</v>
      </c>
      <c r="S12" s="2" t="n">
        <f aca="false">P12/R12</f>
        <v>10.2727272727273</v>
      </c>
    </row>
    <row r="13" customFormat="false" ht="16" hidden="false" customHeight="false" outlineLevel="0" collapsed="false">
      <c r="A13" s="0" t="n">
        <v>193581</v>
      </c>
      <c r="B13" s="0" t="s">
        <v>42</v>
      </c>
      <c r="C13" s="0" t="s">
        <v>20</v>
      </c>
      <c r="D13" s="0" t="n">
        <v>5</v>
      </c>
      <c r="E13" s="0" t="s">
        <v>43</v>
      </c>
      <c r="F13" s="0" t="n">
        <v>0.9651</v>
      </c>
      <c r="G13" s="0" t="n">
        <v>0.0031</v>
      </c>
      <c r="H13" s="0" t="n">
        <v>-43.5</v>
      </c>
      <c r="I13" s="0" t="n">
        <v>3.1</v>
      </c>
      <c r="J13" s="5" t="n">
        <v>45531</v>
      </c>
      <c r="K13" s="0" t="n">
        <v>10</v>
      </c>
      <c r="L13" s="0" t="n">
        <v>20</v>
      </c>
      <c r="M13" s="0" t="n">
        <v>15</v>
      </c>
      <c r="P13" s="0" t="n">
        <v>0.22</v>
      </c>
      <c r="R13" s="0" t="n">
        <v>0.03</v>
      </c>
      <c r="S13" s="2" t="n">
        <f aca="false">P13/R13</f>
        <v>7.33333333333333</v>
      </c>
    </row>
    <row r="14" customFormat="false" ht="16" hidden="false" customHeight="false" outlineLevel="0" collapsed="false">
      <c r="A14" s="0" t="n">
        <v>193686</v>
      </c>
      <c r="B14" s="0" t="s">
        <v>44</v>
      </c>
      <c r="C14" s="0" t="s">
        <v>20</v>
      </c>
      <c r="D14" s="0" t="n">
        <v>5</v>
      </c>
      <c r="E14" s="0" t="s">
        <v>45</v>
      </c>
      <c r="F14" s="0" t="n">
        <v>0.8602</v>
      </c>
      <c r="G14" s="0" t="n">
        <v>0.003</v>
      </c>
      <c r="H14" s="0" t="n">
        <v>-147.4</v>
      </c>
      <c r="I14" s="0" t="n">
        <v>3</v>
      </c>
      <c r="J14" s="5" t="n">
        <v>45551</v>
      </c>
      <c r="K14" s="0" t="n">
        <v>20</v>
      </c>
      <c r="L14" s="0" t="n">
        <v>50</v>
      </c>
      <c r="M14" s="0" t="n">
        <v>35</v>
      </c>
      <c r="P14" s="0" t="n">
        <v>0.12</v>
      </c>
      <c r="R14" s="0" t="n">
        <v>0.02</v>
      </c>
      <c r="S14" s="2" t="n">
        <f aca="false">P14/R14</f>
        <v>6</v>
      </c>
    </row>
    <row r="15" customFormat="false" ht="16" hidden="false" customHeight="false" outlineLevel="0" collapsed="false">
      <c r="A15" s="10" t="n">
        <v>193722</v>
      </c>
      <c r="B15" s="10" t="s">
        <v>46</v>
      </c>
      <c r="C15" s="10" t="s">
        <v>20</v>
      </c>
      <c r="D15" s="10" t="n">
        <v>5</v>
      </c>
      <c r="E15" s="10" t="s">
        <v>47</v>
      </c>
      <c r="F15" s="10" t="n">
        <v>0.8926</v>
      </c>
      <c r="G15" s="10" t="n">
        <v>0.0037</v>
      </c>
      <c r="H15" s="10" t="n">
        <v>-115.4</v>
      </c>
      <c r="I15" s="10" t="n">
        <v>3.7</v>
      </c>
      <c r="J15" s="11" t="n">
        <v>45553</v>
      </c>
      <c r="K15" s="10" t="n">
        <v>50</v>
      </c>
      <c r="L15" s="10" t="n">
        <v>75</v>
      </c>
      <c r="M15" s="10" t="n">
        <v>62.5</v>
      </c>
      <c r="N15" s="12"/>
      <c r="O15" s="13"/>
      <c r="P15" s="10" t="n">
        <v>0.15</v>
      </c>
      <c r="Q15" s="10"/>
      <c r="R15" s="10" t="n">
        <v>0.02</v>
      </c>
      <c r="S15" s="13" t="n">
        <f aca="false">P15/R15</f>
        <v>7.5</v>
      </c>
    </row>
    <row r="16" customFormat="false" ht="16" hidden="false" customHeight="false" outlineLevel="0" collapsed="false">
      <c r="A16" s="0" t="n">
        <v>193582</v>
      </c>
      <c r="B16" s="0" t="s">
        <v>48</v>
      </c>
      <c r="C16" s="0" t="s">
        <v>49</v>
      </c>
      <c r="D16" s="0" t="n">
        <v>1</v>
      </c>
      <c r="E16" s="0" t="s">
        <v>50</v>
      </c>
      <c r="F16" s="0" t="n">
        <v>1.0175</v>
      </c>
      <c r="G16" s="0" t="n">
        <v>0.0033</v>
      </c>
      <c r="H16" s="0" t="n">
        <v>8.4</v>
      </c>
      <c r="I16" s="0" t="n">
        <v>3.3</v>
      </c>
      <c r="J16" s="5" t="n">
        <v>45531</v>
      </c>
      <c r="K16" s="0" t="n">
        <v>0</v>
      </c>
      <c r="L16" s="0" t="n">
        <v>10</v>
      </c>
      <c r="M16" s="0" t="n">
        <v>5</v>
      </c>
      <c r="N16" s="1" t="n">
        <f aca="false">AVERAGE(H16,H21,H26)</f>
        <v>-1.4</v>
      </c>
      <c r="O16" s="2" t="n">
        <f aca="false">STDEV(H16,H21,H26)</f>
        <v>9.95339138183564</v>
      </c>
      <c r="P16" s="0" t="n">
        <v>1.03</v>
      </c>
      <c r="Q16" s="2" t="n">
        <f aca="false">AVERAGE(P16,P21,P26)</f>
        <v>1.02</v>
      </c>
      <c r="R16" s="0" t="n">
        <v>0.1</v>
      </c>
      <c r="S16" s="2" t="n">
        <f aca="false">P16/R16</f>
        <v>10.3</v>
      </c>
    </row>
    <row r="17" customFormat="false" ht="16" hidden="false" customHeight="false" outlineLevel="0" collapsed="false">
      <c r="A17" s="0" t="n">
        <v>193583</v>
      </c>
      <c r="B17" s="0" t="s">
        <v>51</v>
      </c>
      <c r="C17" s="0" t="s">
        <v>49</v>
      </c>
      <c r="D17" s="0" t="n">
        <v>1</v>
      </c>
      <c r="E17" s="0" t="s">
        <v>52</v>
      </c>
      <c r="F17" s="0" t="n">
        <v>1.0204</v>
      </c>
      <c r="G17" s="0" t="n">
        <v>0.0033</v>
      </c>
      <c r="H17" s="0" t="n">
        <v>11.3</v>
      </c>
      <c r="I17" s="0" t="n">
        <v>3.3</v>
      </c>
      <c r="J17" s="5" t="n">
        <v>45531</v>
      </c>
      <c r="K17" s="0" t="n">
        <v>10</v>
      </c>
      <c r="L17" s="0" t="n">
        <v>20</v>
      </c>
      <c r="M17" s="0" t="n">
        <v>15</v>
      </c>
      <c r="N17" s="1" t="n">
        <f aca="false">AVERAGE(H17,H22,H27)</f>
        <v>14.8666666666667</v>
      </c>
      <c r="O17" s="2" t="n">
        <f aca="false">STDEV(H17,H22,H27)</f>
        <v>4.6306946923041</v>
      </c>
      <c r="P17" s="0" t="n">
        <v>0.31</v>
      </c>
      <c r="Q17" s="2" t="n">
        <f aca="false">AVERAGE(P17,P22,P27)</f>
        <v>0.526666666666667</v>
      </c>
      <c r="R17" s="0" t="n">
        <v>0.03</v>
      </c>
      <c r="S17" s="2" t="n">
        <f aca="false">P17/R17</f>
        <v>10.3333333333333</v>
      </c>
    </row>
    <row r="18" customFormat="false" ht="16" hidden="false" customHeight="false" outlineLevel="0" collapsed="false">
      <c r="A18" s="0" t="n">
        <v>193723</v>
      </c>
      <c r="B18" s="0" t="s">
        <v>53</v>
      </c>
      <c r="C18" s="0" t="s">
        <v>49</v>
      </c>
      <c r="D18" s="0" t="n">
        <v>1</v>
      </c>
      <c r="E18" s="0" t="s">
        <v>54</v>
      </c>
      <c r="F18" s="0" t="n">
        <v>0.9033</v>
      </c>
      <c r="G18" s="0" t="n">
        <v>0.0037</v>
      </c>
      <c r="H18" s="0" t="n">
        <v>-104.8</v>
      </c>
      <c r="I18" s="0" t="n">
        <v>3.7</v>
      </c>
      <c r="J18" s="5" t="n">
        <v>45553</v>
      </c>
      <c r="K18" s="0" t="n">
        <v>20</v>
      </c>
      <c r="L18" s="0" t="n">
        <v>50</v>
      </c>
      <c r="M18" s="0" t="n">
        <v>35</v>
      </c>
      <c r="N18" s="1" t="n">
        <f aca="false">AVERAGE(H18,H23,H28)</f>
        <v>-60</v>
      </c>
      <c r="O18" s="2" t="n">
        <f aca="false">STDEV(H18,H23,H28)</f>
        <v>40.700982789117</v>
      </c>
      <c r="P18" s="0" t="n">
        <v>0.16</v>
      </c>
      <c r="Q18" s="2" t="n">
        <f aca="false">AVERAGE(P18,P23,P28)</f>
        <v>0.223333333333333</v>
      </c>
      <c r="R18" s="0" t="n">
        <v>0.02</v>
      </c>
      <c r="S18" s="2" t="n">
        <f aca="false">P18/R18</f>
        <v>8</v>
      </c>
    </row>
    <row r="19" customFormat="false" ht="16" hidden="false" customHeight="false" outlineLevel="0" collapsed="false">
      <c r="A19" s="0" t="n">
        <v>193584</v>
      </c>
      <c r="B19" s="0" t="s">
        <v>55</v>
      </c>
      <c r="C19" s="0" t="s">
        <v>49</v>
      </c>
      <c r="D19" s="0" t="n">
        <v>1</v>
      </c>
      <c r="E19" s="0" t="s">
        <v>56</v>
      </c>
      <c r="F19" s="0" t="n">
        <v>0.9414</v>
      </c>
      <c r="G19" s="0" t="n">
        <v>0.003</v>
      </c>
      <c r="H19" s="0" t="n">
        <v>-66.9</v>
      </c>
      <c r="I19" s="0" t="n">
        <v>3</v>
      </c>
      <c r="J19" s="5" t="n">
        <v>45531</v>
      </c>
      <c r="K19" s="0" t="n">
        <v>50</v>
      </c>
      <c r="L19" s="0" t="n">
        <v>75</v>
      </c>
      <c r="M19" s="0" t="n">
        <v>62.5</v>
      </c>
      <c r="N19" s="1" t="n">
        <f aca="false">AVERAGE(H19,H24,H29)</f>
        <v>-102.233333333333</v>
      </c>
      <c r="O19" s="2" t="n">
        <f aca="false">STDEV(H19,H24,H29)</f>
        <v>79.1538586130413</v>
      </c>
      <c r="P19" s="0" t="n">
        <v>0.21</v>
      </c>
      <c r="Q19" s="2" t="n">
        <f aca="false">AVERAGE(P19,P24,P29)</f>
        <v>0.213333333333333</v>
      </c>
      <c r="R19" s="0" t="n">
        <v>0.03</v>
      </c>
      <c r="S19" s="2" t="n">
        <f aca="false">P19/R19</f>
        <v>7</v>
      </c>
    </row>
    <row r="20" customFormat="false" ht="16" hidden="false" customHeight="false" outlineLevel="0" collapsed="false">
      <c r="A20" s="6" t="n">
        <v>193585</v>
      </c>
      <c r="B20" s="6" t="s">
        <v>57</v>
      </c>
      <c r="C20" s="6" t="s">
        <v>49</v>
      </c>
      <c r="D20" s="6" t="n">
        <v>1</v>
      </c>
      <c r="E20" s="6" t="s">
        <v>58</v>
      </c>
      <c r="F20" s="6" t="n">
        <v>0.9263</v>
      </c>
      <c r="G20" s="6" t="n">
        <v>0.003</v>
      </c>
      <c r="H20" s="6" t="n">
        <v>-82</v>
      </c>
      <c r="I20" s="6" t="n">
        <v>3</v>
      </c>
      <c r="J20" s="7" t="n">
        <v>45531</v>
      </c>
      <c r="K20" s="6" t="n">
        <v>75</v>
      </c>
      <c r="L20" s="6" t="n">
        <v>100</v>
      </c>
      <c r="M20" s="6" t="n">
        <v>87.5</v>
      </c>
      <c r="N20" s="8" t="n">
        <f aca="false">AVERAGE(H20,H25,H30)</f>
        <v>-114.833333333333</v>
      </c>
      <c r="O20" s="9" t="n">
        <f aca="false">STDEV(H20,H25,H30)</f>
        <v>50.9272356733932</v>
      </c>
      <c r="P20" s="6" t="n">
        <v>0.2</v>
      </c>
      <c r="Q20" s="9" t="n">
        <f aca="false">AVERAGE(P20,P25,P30)</f>
        <v>0.143333333333333</v>
      </c>
      <c r="R20" s="6" t="n">
        <v>0.03</v>
      </c>
      <c r="S20" s="9" t="n">
        <f aca="false">P20/R20</f>
        <v>6.66666666666667</v>
      </c>
    </row>
    <row r="21" customFormat="false" ht="16" hidden="false" customHeight="false" outlineLevel="0" collapsed="false">
      <c r="A21" s="0" t="n">
        <v>193586</v>
      </c>
      <c r="B21" s="0" t="s">
        <v>59</v>
      </c>
      <c r="C21" s="0" t="s">
        <v>49</v>
      </c>
      <c r="D21" s="0" t="n">
        <v>3</v>
      </c>
      <c r="E21" s="0" t="s">
        <v>60</v>
      </c>
      <c r="F21" s="0" t="n">
        <v>0.9973</v>
      </c>
      <c r="G21" s="0" t="n">
        <v>0.0032</v>
      </c>
      <c r="H21" s="0" t="n">
        <v>-11.5</v>
      </c>
      <c r="I21" s="0" t="n">
        <v>3.2</v>
      </c>
      <c r="J21" s="5" t="n">
        <v>45531</v>
      </c>
      <c r="K21" s="0" t="n">
        <v>0</v>
      </c>
      <c r="L21" s="0" t="n">
        <v>10</v>
      </c>
      <c r="M21" s="0" t="n">
        <v>5</v>
      </c>
      <c r="P21" s="0" t="n">
        <v>1.02</v>
      </c>
      <c r="R21" s="0" t="n">
        <v>0.07</v>
      </c>
      <c r="S21" s="2" t="n">
        <f aca="false">P21/R21</f>
        <v>14.5714285714286</v>
      </c>
    </row>
    <row r="22" customFormat="false" ht="16" hidden="false" customHeight="false" outlineLevel="0" collapsed="false">
      <c r="A22" s="0" t="n">
        <v>193587</v>
      </c>
      <c r="B22" s="0" t="s">
        <v>61</v>
      </c>
      <c r="C22" s="0" t="s">
        <v>49</v>
      </c>
      <c r="D22" s="0" t="n">
        <v>3</v>
      </c>
      <c r="E22" s="0" t="s">
        <v>62</v>
      </c>
      <c r="F22" s="0" t="n">
        <v>1.0223</v>
      </c>
      <c r="G22" s="0" t="n">
        <v>0.0033</v>
      </c>
      <c r="H22" s="0" t="n">
        <v>13.2</v>
      </c>
      <c r="I22" s="0" t="n">
        <v>3.3</v>
      </c>
      <c r="J22" s="5" t="n">
        <v>45531</v>
      </c>
      <c r="K22" s="0" t="n">
        <v>10</v>
      </c>
      <c r="L22" s="0" t="n">
        <v>20</v>
      </c>
      <c r="M22" s="0" t="n">
        <v>15</v>
      </c>
      <c r="P22" s="0" t="n">
        <v>0.62</v>
      </c>
      <c r="R22" s="0" t="n">
        <v>0.1</v>
      </c>
      <c r="S22" s="2" t="n">
        <f aca="false">P22/R22</f>
        <v>6.2</v>
      </c>
    </row>
    <row r="23" customFormat="false" ht="16" hidden="false" customHeight="false" outlineLevel="0" collapsed="false">
      <c r="A23" s="0" t="n">
        <v>193724</v>
      </c>
      <c r="B23" s="0" t="s">
        <v>63</v>
      </c>
      <c r="C23" s="0" t="s">
        <v>49</v>
      </c>
      <c r="D23" s="0" t="n">
        <v>3</v>
      </c>
      <c r="E23" s="0" t="s">
        <v>64</v>
      </c>
      <c r="F23" s="0" t="n">
        <v>0.9587</v>
      </c>
      <c r="G23" s="0" t="n">
        <v>0.0037</v>
      </c>
      <c r="H23" s="0" t="n">
        <v>-49.9</v>
      </c>
      <c r="I23" s="0" t="n">
        <v>3.7</v>
      </c>
      <c r="J23" s="5" t="n">
        <v>45553</v>
      </c>
      <c r="K23" s="0" t="n">
        <v>20</v>
      </c>
      <c r="L23" s="0" t="n">
        <v>50</v>
      </c>
      <c r="M23" s="0" t="n">
        <v>35</v>
      </c>
      <c r="P23" s="0" t="n">
        <v>0.23</v>
      </c>
      <c r="R23" s="0" t="n">
        <v>0.03</v>
      </c>
      <c r="S23" s="2" t="n">
        <f aca="false">P23/R23</f>
        <v>7.66666666666667</v>
      </c>
    </row>
    <row r="24" customFormat="false" ht="16" hidden="false" customHeight="false" outlineLevel="0" collapsed="false">
      <c r="A24" s="0" t="n">
        <v>193588</v>
      </c>
      <c r="B24" s="0" t="s">
        <v>65</v>
      </c>
      <c r="C24" s="0" t="s">
        <v>49</v>
      </c>
      <c r="D24" s="0" t="n">
        <v>3</v>
      </c>
      <c r="E24" s="0" t="s">
        <v>66</v>
      </c>
      <c r="F24" s="0" t="n">
        <v>0.8144</v>
      </c>
      <c r="G24" s="0" t="n">
        <v>0.0027</v>
      </c>
      <c r="H24" s="0" t="n">
        <v>-192.9</v>
      </c>
      <c r="I24" s="0" t="n">
        <v>2.7</v>
      </c>
      <c r="J24" s="5" t="n">
        <v>45531</v>
      </c>
      <c r="K24" s="0" t="n">
        <v>50</v>
      </c>
      <c r="L24" s="0" t="n">
        <v>75</v>
      </c>
      <c r="M24" s="0" t="n">
        <v>62.5</v>
      </c>
      <c r="P24" s="0" t="n">
        <v>0.13</v>
      </c>
      <c r="R24" s="0" t="n">
        <v>0.02</v>
      </c>
      <c r="S24" s="2" t="n">
        <f aca="false">P24/R24</f>
        <v>6.5</v>
      </c>
    </row>
    <row r="25" customFormat="false" ht="16" hidden="false" customHeight="false" outlineLevel="0" collapsed="false">
      <c r="A25" s="6" t="n">
        <v>193687</v>
      </c>
      <c r="B25" s="6" t="s">
        <v>67</v>
      </c>
      <c r="C25" s="6" t="s">
        <v>49</v>
      </c>
      <c r="D25" s="6" t="n">
        <v>3</v>
      </c>
      <c r="E25" s="6" t="s">
        <v>68</v>
      </c>
      <c r="F25" s="6" t="n">
        <v>0.8339</v>
      </c>
      <c r="G25" s="6" t="n">
        <v>0.003</v>
      </c>
      <c r="H25" s="6" t="n">
        <v>-173.5</v>
      </c>
      <c r="I25" s="6" t="n">
        <v>3</v>
      </c>
      <c r="J25" s="7" t="n">
        <v>45551</v>
      </c>
      <c r="K25" s="6" t="n">
        <v>75</v>
      </c>
      <c r="L25" s="6" t="n">
        <v>100</v>
      </c>
      <c r="M25" s="6" t="n">
        <v>87.5</v>
      </c>
      <c r="N25" s="8"/>
      <c r="O25" s="9"/>
      <c r="P25" s="6" t="n">
        <v>0.1</v>
      </c>
      <c r="Q25" s="6"/>
      <c r="R25" s="6" t="n">
        <v>0.01</v>
      </c>
      <c r="S25" s="9" t="n">
        <f aca="false">P25/R25</f>
        <v>10</v>
      </c>
    </row>
    <row r="26" customFormat="false" ht="16" hidden="false" customHeight="false" outlineLevel="0" collapsed="false">
      <c r="A26" s="0" t="n">
        <v>193589</v>
      </c>
      <c r="B26" s="0" t="s">
        <v>69</v>
      </c>
      <c r="C26" s="0" t="s">
        <v>49</v>
      </c>
      <c r="D26" s="0" t="n">
        <v>5</v>
      </c>
      <c r="E26" s="0" t="s">
        <v>70</v>
      </c>
      <c r="F26" s="0" t="n">
        <v>1.0079</v>
      </c>
      <c r="G26" s="0" t="n">
        <v>0.0032</v>
      </c>
      <c r="H26" s="0" t="n">
        <v>-1.1</v>
      </c>
      <c r="I26" s="0" t="n">
        <v>3.2</v>
      </c>
      <c r="J26" s="5" t="n">
        <v>45531</v>
      </c>
      <c r="K26" s="0" t="n">
        <v>0</v>
      </c>
      <c r="L26" s="0" t="n">
        <v>10</v>
      </c>
      <c r="M26" s="0" t="n">
        <v>5</v>
      </c>
      <c r="P26" s="0" t="n">
        <v>1.01</v>
      </c>
      <c r="R26" s="0" t="n">
        <v>0.1</v>
      </c>
      <c r="S26" s="2" t="n">
        <f aca="false">P26/R26</f>
        <v>10.1</v>
      </c>
    </row>
    <row r="27" customFormat="false" ht="16" hidden="false" customHeight="false" outlineLevel="0" collapsed="false">
      <c r="A27" s="0" t="n">
        <v>193590</v>
      </c>
      <c r="B27" s="0" t="s">
        <v>71</v>
      </c>
      <c r="C27" s="0" t="s">
        <v>49</v>
      </c>
      <c r="D27" s="0" t="n">
        <v>5</v>
      </c>
      <c r="E27" s="0" t="s">
        <v>72</v>
      </c>
      <c r="F27" s="0" t="n">
        <v>1.0293</v>
      </c>
      <c r="G27" s="0" t="n">
        <v>0.0033</v>
      </c>
      <c r="H27" s="0" t="n">
        <v>20.1</v>
      </c>
      <c r="I27" s="0" t="n">
        <v>3.3</v>
      </c>
      <c r="J27" s="5" t="n">
        <v>45531</v>
      </c>
      <c r="K27" s="0" t="n">
        <v>10</v>
      </c>
      <c r="L27" s="0" t="n">
        <v>20</v>
      </c>
      <c r="M27" s="0" t="n">
        <v>15</v>
      </c>
      <c r="P27" s="0" t="n">
        <v>0.65</v>
      </c>
      <c r="R27" s="0" t="n">
        <v>0.06</v>
      </c>
      <c r="S27" s="2" t="n">
        <f aca="false">P27/R27</f>
        <v>10.8333333333333</v>
      </c>
    </row>
    <row r="28" customFormat="false" ht="16" hidden="false" customHeight="false" outlineLevel="0" collapsed="false">
      <c r="A28" s="0" t="n">
        <v>193725</v>
      </c>
      <c r="B28" s="0" t="s">
        <v>73</v>
      </c>
      <c r="C28" s="0" t="s">
        <v>49</v>
      </c>
      <c r="D28" s="0" t="n">
        <v>5</v>
      </c>
      <c r="E28" s="0" t="s">
        <v>74</v>
      </c>
      <c r="F28" s="0" t="n">
        <v>0.9834</v>
      </c>
      <c r="G28" s="0" t="n">
        <v>0.0038</v>
      </c>
      <c r="H28" s="0" t="n">
        <v>-25.3</v>
      </c>
      <c r="I28" s="0" t="n">
        <v>3.8</v>
      </c>
      <c r="J28" s="5" t="n">
        <v>45553</v>
      </c>
      <c r="K28" s="0" t="n">
        <v>20</v>
      </c>
      <c r="L28" s="0" t="n">
        <v>50</v>
      </c>
      <c r="M28" s="0" t="n">
        <v>35</v>
      </c>
      <c r="P28" s="0" t="n">
        <v>0.28</v>
      </c>
      <c r="R28" s="0" t="n">
        <v>0.03</v>
      </c>
      <c r="S28" s="2" t="n">
        <f aca="false">P28/R28</f>
        <v>9.33333333333333</v>
      </c>
    </row>
    <row r="29" customFormat="false" ht="16" hidden="false" customHeight="false" outlineLevel="0" collapsed="false">
      <c r="A29" s="0" t="n">
        <v>193598</v>
      </c>
      <c r="B29" s="0" t="s">
        <v>75</v>
      </c>
      <c r="C29" s="0" t="s">
        <v>49</v>
      </c>
      <c r="D29" s="0" t="n">
        <v>5</v>
      </c>
      <c r="E29" s="0" t="s">
        <v>76</v>
      </c>
      <c r="F29" s="0" t="n">
        <v>0.9617</v>
      </c>
      <c r="G29" s="0" t="n">
        <v>0.0033</v>
      </c>
      <c r="H29" s="0" t="n">
        <v>-46.9</v>
      </c>
      <c r="I29" s="0" t="n">
        <v>3.3</v>
      </c>
      <c r="J29" s="5" t="n">
        <v>45541</v>
      </c>
      <c r="K29" s="0" t="n">
        <v>50</v>
      </c>
      <c r="L29" s="0" t="n">
        <v>75</v>
      </c>
      <c r="M29" s="0" t="n">
        <v>62.5</v>
      </c>
      <c r="P29" s="0" t="n">
        <v>0.3</v>
      </c>
      <c r="R29" s="0" t="n">
        <v>0.03</v>
      </c>
      <c r="S29" s="2" t="n">
        <f aca="false">P29/R29</f>
        <v>10</v>
      </c>
    </row>
    <row r="30" customFormat="false" ht="16" hidden="false" customHeight="false" outlineLevel="0" collapsed="false">
      <c r="A30" s="0" t="n">
        <v>193599</v>
      </c>
      <c r="B30" s="0" t="s">
        <v>77</v>
      </c>
      <c r="C30" s="0" t="s">
        <v>49</v>
      </c>
      <c r="D30" s="0" t="n">
        <v>5</v>
      </c>
      <c r="E30" s="0" t="s">
        <v>78</v>
      </c>
      <c r="F30" s="0" t="n">
        <v>0.9191</v>
      </c>
      <c r="G30" s="0" t="n">
        <v>0.0031</v>
      </c>
      <c r="H30" s="0" t="n">
        <v>-89</v>
      </c>
      <c r="I30" s="0" t="n">
        <v>3.1</v>
      </c>
      <c r="J30" s="5" t="n">
        <v>45541</v>
      </c>
      <c r="K30" s="0" t="n">
        <v>75</v>
      </c>
      <c r="L30" s="0" t="n">
        <v>100</v>
      </c>
      <c r="M30" s="0" t="n">
        <v>87.5</v>
      </c>
      <c r="P30" s="0" t="n">
        <v>0.13</v>
      </c>
      <c r="R30" s="0" t="n">
        <v>0.02</v>
      </c>
      <c r="S30" s="2" t="n">
        <f aca="false">P30/R30</f>
        <v>6.5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