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aideeg_stanford_edu/Documents/LLNL/2024 - crop diversity and perrenial studies/data/14C/"/>
    </mc:Choice>
  </mc:AlternateContent>
  <xr:revisionPtr revIDLastSave="3" documentId="8_{9644E828-01A4-0C49-8651-8AEF00FE0F3F}" xr6:coauthVersionLast="47" xr6:coauthVersionMax="47" xr10:uidLastSave="{A268704F-69AA-4A49-BE47-15FC517A660F}"/>
  <bookViews>
    <workbookView xWindow="38400" yWindow="760" windowWidth="34560" windowHeight="20860" xr2:uid="{227463AC-A177-1047-9BEB-C26358AF3102}"/>
  </bookViews>
  <sheets>
    <sheet name="HRD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Q17" i="1"/>
  <c r="Q36" i="1"/>
  <c r="Q35" i="1"/>
  <c r="Q34" i="1"/>
  <c r="Q33" i="1"/>
  <c r="Q32" i="1"/>
  <c r="Q21" i="1"/>
  <c r="Q20" i="1"/>
  <c r="Q19" i="1"/>
  <c r="Q18" i="1"/>
  <c r="Q3" i="1"/>
  <c r="Q4" i="1"/>
  <c r="Q5" i="1"/>
  <c r="Q6" i="1"/>
  <c r="Q2" i="1"/>
  <c r="K36" i="1"/>
  <c r="K35" i="1"/>
  <c r="K34" i="1"/>
  <c r="K33" i="1"/>
  <c r="K32" i="1"/>
  <c r="K21" i="1"/>
  <c r="K20" i="1"/>
  <c r="K19" i="1"/>
  <c r="K18" i="1"/>
  <c r="K17" i="1"/>
  <c r="K5" i="1"/>
  <c r="K6" i="1"/>
  <c r="K3" i="1"/>
  <c r="K4" i="1"/>
  <c r="K2" i="1"/>
  <c r="J6" i="1"/>
  <c r="J5" i="1"/>
  <c r="J4" i="1"/>
  <c r="J3" i="1"/>
  <c r="J21" i="1"/>
  <c r="J20" i="1"/>
  <c r="J19" i="1"/>
  <c r="J18" i="1"/>
  <c r="J17" i="1"/>
  <c r="J36" i="1"/>
  <c r="J35" i="1"/>
  <c r="J34" i="1"/>
  <c r="J33" i="1"/>
  <c r="J32" i="1"/>
</calcChain>
</file>

<file path=xl/sharedStrings.xml><?xml version="1.0" encoding="utf-8"?>
<sst xmlns="http://schemas.openxmlformats.org/spreadsheetml/2006/main" count="154" uniqueCount="112">
  <si>
    <t>CAMS</t>
  </si>
  <si>
    <t>SampleName</t>
  </si>
  <si>
    <t>Site</t>
  </si>
  <si>
    <t>Plot</t>
  </si>
  <si>
    <t>Nnumber</t>
  </si>
  <si>
    <t>fractionModern</t>
  </si>
  <si>
    <t>FractionModern_err</t>
  </si>
  <si>
    <t>Del14C</t>
  </si>
  <si>
    <t>Del14C_err</t>
  </si>
  <si>
    <t>Date</t>
  </si>
  <si>
    <t>Depth_top</t>
  </si>
  <si>
    <t>Depth_bottom</t>
  </si>
  <si>
    <t>Depth_mid</t>
  </si>
  <si>
    <t>C_percent</t>
  </si>
  <si>
    <t>182_HRDY1_1_A1_DT</t>
  </si>
  <si>
    <t>HRDY1</t>
  </si>
  <si>
    <t>N135334</t>
  </si>
  <si>
    <t>183_HRDY1_1_A2_DT</t>
  </si>
  <si>
    <t>N135335</t>
  </si>
  <si>
    <t>184_HRDY1_1_A3_DT</t>
  </si>
  <si>
    <t>N135336</t>
  </si>
  <si>
    <t>185_HRDY1_1_A4_DT</t>
  </si>
  <si>
    <t>N135337</t>
  </si>
  <si>
    <t>186_HRDY1_1_A5_DT</t>
  </si>
  <si>
    <t>N135338</t>
  </si>
  <si>
    <t>187_HRDY1_2_A1_DT</t>
  </si>
  <si>
    <t>N135339</t>
  </si>
  <si>
    <t>188_HRDY1_2_A2_DT</t>
  </si>
  <si>
    <t>N135340</t>
  </si>
  <si>
    <t>189_HRDY1_2_A3_DT</t>
  </si>
  <si>
    <t>N135341</t>
  </si>
  <si>
    <t>190_HRDY1_2_A4_DT</t>
  </si>
  <si>
    <t>N135342</t>
  </si>
  <si>
    <t>191_HRDY1_2_A5_DT</t>
  </si>
  <si>
    <t>N135343</t>
  </si>
  <si>
    <t>192_HRDY1_3_A1_DT</t>
  </si>
  <si>
    <t>N135344</t>
  </si>
  <si>
    <t>193_HRDY1_3_A2_DT</t>
  </si>
  <si>
    <t>N135345</t>
  </si>
  <si>
    <t>194_HRDY1_3_A3_DT</t>
  </si>
  <si>
    <t>N135346</t>
  </si>
  <si>
    <t>195_HRDY1_3_A4_DT</t>
  </si>
  <si>
    <t>N135347</t>
  </si>
  <si>
    <t>196_HRDY1_3_A5_DT</t>
  </si>
  <si>
    <t>N135348</t>
  </si>
  <si>
    <t>197_HRDY2_1_A1_DT</t>
  </si>
  <si>
    <t>HRDY2</t>
  </si>
  <si>
    <t>N135349</t>
  </si>
  <si>
    <t>199_HRDY2_1_A3_DT</t>
  </si>
  <si>
    <t>N135351</t>
  </si>
  <si>
    <t>200_HRDY2_1_A4_DT</t>
  </si>
  <si>
    <t>N135352</t>
  </si>
  <si>
    <t>201_HRDY2_1_A5_DT</t>
  </si>
  <si>
    <t>N135353</t>
  </si>
  <si>
    <t>202_HRDY2_2_A1_DT</t>
  </si>
  <si>
    <t>N135354</t>
  </si>
  <si>
    <t>203_HRDY2_2_A2_DT</t>
  </si>
  <si>
    <t>N135355</t>
  </si>
  <si>
    <t>204_HRDY2_2_A3_DT</t>
  </si>
  <si>
    <t>N135356</t>
  </si>
  <si>
    <t>205_HRDY2_2_A4_DT</t>
  </si>
  <si>
    <t>N135357</t>
  </si>
  <si>
    <t>206_HRDY2_2_A5_DT</t>
  </si>
  <si>
    <t>N135358</t>
  </si>
  <si>
    <t>208_HRDY2_3_A2_DT</t>
  </si>
  <si>
    <t>N135360</t>
  </si>
  <si>
    <t>209_HRDY2_3_A3_DT</t>
  </si>
  <si>
    <t>N135361</t>
  </si>
  <si>
    <t>210_HRDY2_3_A4_DT</t>
  </si>
  <si>
    <t>N135362</t>
  </si>
  <si>
    <t>212_HRDY3_1_A1_DT</t>
  </si>
  <si>
    <t>HRDY3</t>
  </si>
  <si>
    <t>N135364</t>
  </si>
  <si>
    <t>213_HRDY3_1_A2_DT</t>
  </si>
  <si>
    <t>N135365</t>
  </si>
  <si>
    <t>214_HRDY3_1_A3_DT</t>
  </si>
  <si>
    <t>N135366</t>
  </si>
  <si>
    <t>N_percent</t>
  </si>
  <si>
    <t>198_HRDY2_1_A2_DT</t>
  </si>
  <si>
    <t>N135350</t>
  </si>
  <si>
    <t>207_HRDY2_3_A1_DT</t>
  </si>
  <si>
    <t>N135359</t>
  </si>
  <si>
    <t>211_HRDY2_3_A5_DT</t>
  </si>
  <si>
    <t>N135363</t>
  </si>
  <si>
    <t>215_HRDY3_1_A4_DT</t>
  </si>
  <si>
    <t>N135367</t>
  </si>
  <si>
    <t>216_HRDY3_1_A5_DT</t>
  </si>
  <si>
    <t>N135368</t>
  </si>
  <si>
    <t>217_HRDY3_2_A1_DT</t>
  </si>
  <si>
    <t>N135369</t>
  </si>
  <si>
    <t>218_HRDY3_2_A2_DT</t>
  </si>
  <si>
    <t>N135370</t>
  </si>
  <si>
    <t>219_HRDY3_2_A3_DT</t>
  </si>
  <si>
    <t>N135371</t>
  </si>
  <si>
    <t>220_HRDY3_2_A4_DT</t>
  </si>
  <si>
    <t>N135372</t>
  </si>
  <si>
    <t>221_HRDY3_2_A5_DT</t>
  </si>
  <si>
    <t>N135373</t>
  </si>
  <si>
    <t>222_HRDY3_3_A1_DT</t>
  </si>
  <si>
    <t>N135374</t>
  </si>
  <si>
    <t>223_HRDY3_3_A2_DT</t>
  </si>
  <si>
    <t>N135375</t>
  </si>
  <si>
    <t>224_HRDY3_3_A3_DT</t>
  </si>
  <si>
    <t>N135376</t>
  </si>
  <si>
    <t>225_HRDY3_3_A4_DT</t>
  </si>
  <si>
    <t>N135377</t>
  </si>
  <si>
    <t>226_HRDY3_3_A5_DT</t>
  </si>
  <si>
    <t>N135378</t>
  </si>
  <si>
    <t>CN_ratio</t>
  </si>
  <si>
    <t>Del14C_avg</t>
  </si>
  <si>
    <t>Del14C_stdev</t>
  </si>
  <si>
    <t>Avg_Cpercent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</si>
</sst>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0" borderId="10" xfId="0" applyBorder="1"/>
    <xf numFmtId="14" fontId="0" fillId="0" borderId="10" xfId="0" applyNumberFormat="1" applyBorder="1"/>
    <xf numFmtId="2" fontId="0" fillId="0" borderId="0" xfId="0" applyNumberFormat="1"/>
    <xf numFmtId="2" fontId="0" fillId="0" borderId="10" xfId="0" applyNumberFormat="1" applyBorder="1"/>
    <xf numFmtId="0" fontId="0" fillId="0" borderId="11" xfId="0" applyBorder="1"/>
    <xf numFmtId="14" fontId="0" fillId="0" borderId="11" xfId="0" applyNumberFormat="1" applyBorder="1"/>
    <xf numFmtId="2" fontId="0" fillId="0" borderId="11" xfId="0" applyNumberFormat="1" applyBorder="1"/>
    <xf numFmtId="164" fontId="0" fillId="0" borderId="0" xfId="0" applyNumberFormat="1"/>
    <xf numFmtId="164" fontId="0" fillId="0" borderId="10" xfId="0" applyNumberFormat="1" applyBorder="1"/>
    <xf numFmtId="164" fontId="0" fillId="0" borderId="11" xfId="0" applyNumberFormat="1" applyBorder="1"/>
    <xf numFmtId="165" fontId="0" fillId="0" borderId="0" xfId="0" applyNumberFormat="1"/>
    <xf numFmtId="165" fontId="0" fillId="0" borderId="10" xfId="0" applyNumberFormat="1" applyBorder="1"/>
    <xf numFmtId="165" fontId="0" fillId="0" borderId="11" xfId="0" applyNumberFormat="1" applyBorder="1"/>
    <xf numFmtId="14" fontId="18" fillId="0" borderId="0" xfId="0" applyNumberFormat="1" applyFont="1" applyAlignment="1">
      <alignment horizontal="right"/>
    </xf>
    <xf numFmtId="14" fontId="18" fillId="0" borderId="10" xfId="0" applyNumberFormat="1" applyFont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Perennial</a:t>
            </a:r>
            <a:r>
              <a:rPr lang="en-US" baseline="0"/>
              <a:t> Hedgerows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29521231723559"/>
          <c:y val="6.8600394506476148E-2"/>
          <c:w val="0.84831152826641543"/>
          <c:h val="0.7802385643982791"/>
        </c:manualLayout>
      </c:layout>
      <c:scatterChart>
        <c:scatterStyle val="smoothMarker"/>
        <c:varyColors val="0"/>
        <c:ser>
          <c:idx val="0"/>
          <c:order val="0"/>
          <c:tx>
            <c:v>1996 (n=3)</c:v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HRDY!$J$2:$J$6</c:f>
              <c:numCache>
                <c:formatCode>0.0</c:formatCode>
                <c:ptCount val="5"/>
                <c:pt idx="0">
                  <c:v>-8.8333333333333339</c:v>
                </c:pt>
                <c:pt idx="1">
                  <c:v>-85.033333333333331</c:v>
                </c:pt>
                <c:pt idx="2">
                  <c:v>-239.23333333333335</c:v>
                </c:pt>
                <c:pt idx="3">
                  <c:v>-328.73333333333335</c:v>
                </c:pt>
                <c:pt idx="4">
                  <c:v>-241.33333333333334</c:v>
                </c:pt>
              </c:numCache>
            </c:numRef>
          </c:xVal>
          <c:yVal>
            <c:numRef>
              <c:f>HRDY!$O$2:$O$6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35</c:v>
                </c:pt>
                <c:pt idx="3">
                  <c:v>62.5</c:v>
                </c:pt>
                <c:pt idx="4">
                  <c:v>87.5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1FD-0B4A-A254-91429E3E68D4}"/>
            </c:ext>
          </c:extLst>
        </c:ser>
        <c:ser>
          <c:idx val="7"/>
          <c:order val="1"/>
          <c:tx>
            <c:v>2015 (n=3)</c:v>
          </c:tx>
          <c:spPr>
            <a:ln w="5080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HRDY!$J$17:$J$21</c:f>
              <c:numCache>
                <c:formatCode>0.0</c:formatCode>
                <c:ptCount val="5"/>
                <c:pt idx="0">
                  <c:v>-31.063939086286553</c:v>
                </c:pt>
                <c:pt idx="1">
                  <c:v>-96.149848058503949</c:v>
                </c:pt>
                <c:pt idx="2">
                  <c:v>-167.56666666666666</c:v>
                </c:pt>
                <c:pt idx="3">
                  <c:v>-234.33333333333334</c:v>
                </c:pt>
                <c:pt idx="4">
                  <c:v>-213.60547137375758</c:v>
                </c:pt>
              </c:numCache>
            </c:numRef>
          </c:xVal>
          <c:yVal>
            <c:numRef>
              <c:f>HRDY!$O$17:$O$21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35</c:v>
                </c:pt>
                <c:pt idx="3">
                  <c:v>62.5</c:v>
                </c:pt>
                <c:pt idx="4">
                  <c:v>87.5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BA-B243-A988-2E6790824CE8}"/>
            </c:ext>
          </c:extLst>
        </c:ser>
        <c:ser>
          <c:idx val="1"/>
          <c:order val="2"/>
          <c:tx>
            <c:v>Control (n=3)</c:v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HRDY!$J$32:$J$36</c:f>
              <c:numCache>
                <c:formatCode>0.0</c:formatCode>
                <c:ptCount val="5"/>
                <c:pt idx="0">
                  <c:v>-109.59693060333443</c:v>
                </c:pt>
                <c:pt idx="1">
                  <c:v>-107.29817856277468</c:v>
                </c:pt>
                <c:pt idx="2">
                  <c:v>-188.53006856550141</c:v>
                </c:pt>
                <c:pt idx="3">
                  <c:v>-343.21090468426218</c:v>
                </c:pt>
                <c:pt idx="4">
                  <c:v>-382.66318644627063</c:v>
                </c:pt>
              </c:numCache>
            </c:numRef>
          </c:xVal>
          <c:yVal>
            <c:numRef>
              <c:f>HRDY!$O$32:$O$36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35</c:v>
                </c:pt>
                <c:pt idx="3">
                  <c:v>62.5</c:v>
                </c:pt>
                <c:pt idx="4">
                  <c:v>87.5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1FD-0B4A-A254-91429E3E6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052463"/>
        <c:axId val="1232459775"/>
      </c:scatterChart>
      <c:valAx>
        <c:axId val="1332052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2400"/>
                  <a:t>Δ</a:t>
                </a:r>
                <a:r>
                  <a:rPr lang="en-US" sz="2400"/>
                  <a:t>14C (‰)</a:t>
                </a:r>
              </a:p>
            </c:rich>
          </c:tx>
          <c:layout>
            <c:manualLayout>
              <c:xMode val="edge"/>
              <c:yMode val="edge"/>
              <c:x val="0.47650471221302654"/>
              <c:y val="0.937218227027618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459775"/>
        <c:crosses val="max"/>
        <c:crossBetween val="midCat"/>
      </c:valAx>
      <c:valAx>
        <c:axId val="1232459775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/>
                  <a:t>Depth</a:t>
                </a:r>
                <a:r>
                  <a:rPr lang="en-US" sz="2400" baseline="0"/>
                  <a:t> (cm)</a:t>
                </a:r>
                <a:endParaRPr lang="en-US" sz="2400"/>
              </a:p>
            </c:rich>
          </c:tx>
          <c:layout>
            <c:manualLayout>
              <c:xMode val="edge"/>
              <c:yMode val="edge"/>
              <c:x val="2.2123893805309734E-3"/>
              <c:y val="0.403341516490577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052463"/>
        <c:crossesAt val="-600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4371948823324585"/>
          <c:y val="5.9996153109887998E-2"/>
          <c:w val="0.21028267787915259"/>
          <c:h val="0.171501157900192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Perennial</a:t>
            </a:r>
            <a:r>
              <a:rPr lang="en-US" baseline="0"/>
              <a:t> Hedgerows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87482223602384"/>
          <c:y val="7.5691853803987338E-2"/>
          <c:w val="0.82603039840640935"/>
          <c:h val="0.79481143544725019"/>
        </c:manualLayout>
      </c:layout>
      <c:scatterChart>
        <c:scatterStyle val="smoothMarker"/>
        <c:varyColors val="0"/>
        <c:ser>
          <c:idx val="0"/>
          <c:order val="0"/>
          <c:tx>
            <c:v>1996-1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HRDY!$H$2:$H$6</c:f>
              <c:numCache>
                <c:formatCode>0.0</c:formatCode>
                <c:ptCount val="5"/>
                <c:pt idx="0">
                  <c:v>-5.4</c:v>
                </c:pt>
                <c:pt idx="1">
                  <c:v>-155.6</c:v>
                </c:pt>
                <c:pt idx="2">
                  <c:v>-287.5</c:v>
                </c:pt>
                <c:pt idx="3">
                  <c:v>-416</c:v>
                </c:pt>
                <c:pt idx="4">
                  <c:v>-481.1</c:v>
                </c:pt>
              </c:numCache>
            </c:numRef>
          </c:xVal>
          <c:yVal>
            <c:numRef>
              <c:f>HRDY!$O$2:$O$6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35</c:v>
                </c:pt>
                <c:pt idx="3">
                  <c:v>62.5</c:v>
                </c:pt>
                <c:pt idx="4">
                  <c:v>87.5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78-F74D-9E80-4420DDD76E0E}"/>
            </c:ext>
          </c:extLst>
        </c:ser>
        <c:ser>
          <c:idx val="1"/>
          <c:order val="1"/>
          <c:tx>
            <c:v>1996-2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HRDY!$H$7:$H$11</c:f>
              <c:numCache>
                <c:formatCode>0.0</c:formatCode>
                <c:ptCount val="5"/>
                <c:pt idx="0">
                  <c:v>-5.8</c:v>
                </c:pt>
                <c:pt idx="1">
                  <c:v>-60</c:v>
                </c:pt>
                <c:pt idx="2">
                  <c:v>-182</c:v>
                </c:pt>
                <c:pt idx="3">
                  <c:v>-247.4</c:v>
                </c:pt>
                <c:pt idx="4">
                  <c:v>-124.9</c:v>
                </c:pt>
              </c:numCache>
            </c:numRef>
          </c:xVal>
          <c:yVal>
            <c:numRef>
              <c:f>HRDY!$O$7:$O$11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35</c:v>
                </c:pt>
                <c:pt idx="3">
                  <c:v>62.5</c:v>
                </c:pt>
                <c:pt idx="4">
                  <c:v>87.5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378-F74D-9E80-4420DDD76E0E}"/>
            </c:ext>
          </c:extLst>
        </c:ser>
        <c:ser>
          <c:idx val="2"/>
          <c:order val="2"/>
          <c:tx>
            <c:v>1996-3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HRDY!$H$12:$H$16</c:f>
              <c:numCache>
                <c:formatCode>0.0</c:formatCode>
                <c:ptCount val="5"/>
                <c:pt idx="0">
                  <c:v>-15.3</c:v>
                </c:pt>
                <c:pt idx="1">
                  <c:v>-39.5</c:v>
                </c:pt>
                <c:pt idx="2">
                  <c:v>-248.2</c:v>
                </c:pt>
                <c:pt idx="3">
                  <c:v>-322.8</c:v>
                </c:pt>
                <c:pt idx="4">
                  <c:v>-118</c:v>
                </c:pt>
              </c:numCache>
            </c:numRef>
          </c:xVal>
          <c:yVal>
            <c:numRef>
              <c:f>HRDY!$O$12:$O$16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35</c:v>
                </c:pt>
                <c:pt idx="3">
                  <c:v>62.5</c:v>
                </c:pt>
                <c:pt idx="4">
                  <c:v>87.5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378-F74D-9E80-4420DDD76E0E}"/>
            </c:ext>
          </c:extLst>
        </c:ser>
        <c:ser>
          <c:idx val="3"/>
          <c:order val="3"/>
          <c:tx>
            <c:v>2015-1</c:v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HRDY!$H$17:$H$21</c:f>
              <c:numCache>
                <c:formatCode>0.0</c:formatCode>
                <c:ptCount val="5"/>
                <c:pt idx="0">
                  <c:v>-19.600000000000001</c:v>
                </c:pt>
                <c:pt idx="1">
                  <c:v>-157.54954417551181</c:v>
                </c:pt>
                <c:pt idx="2">
                  <c:v>-170.2</c:v>
                </c:pt>
                <c:pt idx="3">
                  <c:v>-279.89999999999998</c:v>
                </c:pt>
                <c:pt idx="4">
                  <c:v>-330.9</c:v>
                </c:pt>
              </c:numCache>
            </c:numRef>
          </c:xVal>
          <c:yVal>
            <c:numRef>
              <c:f>HRDY!$O$17:$O$21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35</c:v>
                </c:pt>
                <c:pt idx="3">
                  <c:v>62.5</c:v>
                </c:pt>
                <c:pt idx="4">
                  <c:v>87.5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378-F74D-9E80-4420DDD76E0E}"/>
            </c:ext>
          </c:extLst>
        </c:ser>
        <c:ser>
          <c:idx val="4"/>
          <c:order val="4"/>
          <c:tx>
            <c:v>2015-2</c:v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HRDY!$H$22:$H$26</c:f>
              <c:numCache>
                <c:formatCode>0.0</c:formatCode>
                <c:ptCount val="5"/>
                <c:pt idx="0">
                  <c:v>-16.2</c:v>
                </c:pt>
                <c:pt idx="1">
                  <c:v>-34.9</c:v>
                </c:pt>
                <c:pt idx="2">
                  <c:v>-149.69999999999999</c:v>
                </c:pt>
                <c:pt idx="3">
                  <c:v>-140.5</c:v>
                </c:pt>
                <c:pt idx="4">
                  <c:v>-167</c:v>
                </c:pt>
              </c:numCache>
            </c:numRef>
          </c:xVal>
          <c:yVal>
            <c:numRef>
              <c:f>HRDY!$O$22:$O$26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35</c:v>
                </c:pt>
                <c:pt idx="3">
                  <c:v>62.5</c:v>
                </c:pt>
                <c:pt idx="4">
                  <c:v>87.5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378-F74D-9E80-4420DDD76E0E}"/>
            </c:ext>
          </c:extLst>
        </c:ser>
        <c:ser>
          <c:idx val="5"/>
          <c:order val="5"/>
          <c:tx>
            <c:v>2015-3</c:v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HRDY!$H$27:$H$31</c:f>
              <c:numCache>
                <c:formatCode>0.0</c:formatCode>
                <c:ptCount val="5"/>
                <c:pt idx="0">
                  <c:v>-57.391817258859668</c:v>
                </c:pt>
                <c:pt idx="1">
                  <c:v>-96</c:v>
                </c:pt>
                <c:pt idx="2">
                  <c:v>-182.8</c:v>
                </c:pt>
                <c:pt idx="3">
                  <c:v>-282.60000000000002</c:v>
                </c:pt>
                <c:pt idx="4">
                  <c:v>-142.91641412127277</c:v>
                </c:pt>
              </c:numCache>
            </c:numRef>
          </c:xVal>
          <c:yVal>
            <c:numRef>
              <c:f>HRDY!$O$27:$O$31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35</c:v>
                </c:pt>
                <c:pt idx="3">
                  <c:v>62.5</c:v>
                </c:pt>
                <c:pt idx="4">
                  <c:v>87.5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378-F74D-9E80-4420DDD76E0E}"/>
            </c:ext>
          </c:extLst>
        </c:ser>
        <c:ser>
          <c:idx val="6"/>
          <c:order val="6"/>
          <c:tx>
            <c:v>Control-1</c:v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HRDY!$H$32:$H$36</c:f>
              <c:numCache>
                <c:formatCode>0.0</c:formatCode>
                <c:ptCount val="5"/>
                <c:pt idx="0">
                  <c:v>-95.1</c:v>
                </c:pt>
                <c:pt idx="1">
                  <c:v>-108.8</c:v>
                </c:pt>
                <c:pt idx="2">
                  <c:v>-199.4</c:v>
                </c:pt>
                <c:pt idx="3">
                  <c:v>-393.04771387578006</c:v>
                </c:pt>
                <c:pt idx="4">
                  <c:v>-447.49961667572279</c:v>
                </c:pt>
              </c:numCache>
            </c:numRef>
          </c:xVal>
          <c:yVal>
            <c:numRef>
              <c:f>HRDY!$O$32:$O$36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35</c:v>
                </c:pt>
                <c:pt idx="3">
                  <c:v>62.5</c:v>
                </c:pt>
                <c:pt idx="4">
                  <c:v>87.5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378-F74D-9E80-4420DDD76E0E}"/>
            </c:ext>
          </c:extLst>
        </c:ser>
        <c:ser>
          <c:idx val="7"/>
          <c:order val="7"/>
          <c:tx>
            <c:v>Control-2</c:v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HRDY!$H$37:$H$41</c:f>
              <c:numCache>
                <c:formatCode>0.0</c:formatCode>
                <c:ptCount val="5"/>
                <c:pt idx="0">
                  <c:v>-114.25969336180763</c:v>
                </c:pt>
                <c:pt idx="1">
                  <c:v>-110.7649662134852</c:v>
                </c:pt>
                <c:pt idx="2">
                  <c:v>-254.84374417615817</c:v>
                </c:pt>
                <c:pt idx="3">
                  <c:v>-376.37354261939629</c:v>
                </c:pt>
                <c:pt idx="4">
                  <c:v>-369.51813465855997</c:v>
                </c:pt>
              </c:numCache>
            </c:numRef>
          </c:xVal>
          <c:yVal>
            <c:numRef>
              <c:f>HRDY!$O$37:$O$41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35</c:v>
                </c:pt>
                <c:pt idx="3">
                  <c:v>62.5</c:v>
                </c:pt>
                <c:pt idx="4">
                  <c:v>87.5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378-F74D-9E80-4420DDD76E0E}"/>
            </c:ext>
          </c:extLst>
        </c:ser>
        <c:ser>
          <c:idx val="8"/>
          <c:order val="8"/>
          <c:tx>
            <c:v>Control-3</c:v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HRDY!$H$42:$H$46</c:f>
              <c:numCache>
                <c:formatCode>0.0</c:formatCode>
                <c:ptCount val="5"/>
                <c:pt idx="0">
                  <c:v>-119.43109844819566</c:v>
                </c:pt>
                <c:pt idx="1">
                  <c:v>-102.32956947483885</c:v>
                </c:pt>
                <c:pt idx="2">
                  <c:v>-111.346461520346</c:v>
                </c:pt>
                <c:pt idx="3">
                  <c:v>-260.21145755761023</c:v>
                </c:pt>
                <c:pt idx="4">
                  <c:v>-330.97180800452907</c:v>
                </c:pt>
              </c:numCache>
            </c:numRef>
          </c:xVal>
          <c:yVal>
            <c:numRef>
              <c:f>HRDY!$O$42:$O$46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35</c:v>
                </c:pt>
                <c:pt idx="3">
                  <c:v>62.5</c:v>
                </c:pt>
                <c:pt idx="4">
                  <c:v>87.5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378-F74D-9E80-4420DDD76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052463"/>
        <c:axId val="1232459775"/>
      </c:scatterChart>
      <c:valAx>
        <c:axId val="1332052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2400"/>
                  <a:t>Δ</a:t>
                </a:r>
                <a:r>
                  <a:rPr lang="en-US" sz="2400"/>
                  <a:t>14C (‰)</a:t>
                </a:r>
              </a:p>
            </c:rich>
          </c:tx>
          <c:layout>
            <c:manualLayout>
              <c:xMode val="edge"/>
              <c:yMode val="edge"/>
              <c:x val="0.44020058509679444"/>
              <c:y val="0.944350878485757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459775"/>
        <c:crosses val="max"/>
        <c:crossBetween val="midCat"/>
      </c:valAx>
      <c:valAx>
        <c:axId val="1232459775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/>
                  <a:t>Depth</a:t>
                </a:r>
                <a:r>
                  <a:rPr lang="en-US" sz="2400" baseline="0"/>
                  <a:t> (cm)</a:t>
                </a:r>
                <a:endParaRPr lang="en-US" sz="2400"/>
              </a:p>
            </c:rich>
          </c:tx>
          <c:layout>
            <c:manualLayout>
              <c:xMode val="edge"/>
              <c:yMode val="edge"/>
              <c:x val="2.2123893805309734E-3"/>
              <c:y val="0.403341516490577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052463"/>
        <c:crossesAt val="-600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316265266337665"/>
          <c:y val="3.3811784093120828E-2"/>
          <c:w val="0.22017835623886228"/>
          <c:h val="0.376452524261324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Perennial</a:t>
            </a:r>
            <a:r>
              <a:rPr lang="en-US" baseline="0"/>
              <a:t> Hedgerows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29521231723559"/>
          <c:y val="6.8600394506476148E-2"/>
          <c:w val="0.84831152826641543"/>
          <c:h val="0.79186390750895319"/>
        </c:manualLayout>
      </c:layout>
      <c:scatterChart>
        <c:scatterStyle val="smoothMarker"/>
        <c:varyColors val="0"/>
        <c:ser>
          <c:idx val="0"/>
          <c:order val="0"/>
          <c:tx>
            <c:v>1996 (n=3)</c:v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HRDY!$Q$2:$Q$6</c:f>
              <c:numCache>
                <c:formatCode>0.00</c:formatCode>
                <c:ptCount val="5"/>
                <c:pt idx="0">
                  <c:v>1.9833333333333332</c:v>
                </c:pt>
                <c:pt idx="1">
                  <c:v>0.91666666666666663</c:v>
                </c:pt>
                <c:pt idx="2">
                  <c:v>0.5033333333333333</c:v>
                </c:pt>
                <c:pt idx="3">
                  <c:v>0.4366666666666667</c:v>
                </c:pt>
                <c:pt idx="4">
                  <c:v>0.53333333333333333</c:v>
                </c:pt>
              </c:numCache>
            </c:numRef>
          </c:xVal>
          <c:yVal>
            <c:numRef>
              <c:f>HRDY!$O$2:$O$6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35</c:v>
                </c:pt>
                <c:pt idx="3">
                  <c:v>62.5</c:v>
                </c:pt>
                <c:pt idx="4">
                  <c:v>87.5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79-BF43-89DF-EE1CA90EB124}"/>
            </c:ext>
          </c:extLst>
        </c:ser>
        <c:ser>
          <c:idx val="7"/>
          <c:order val="1"/>
          <c:tx>
            <c:v>2015 (n=3)</c:v>
          </c:tx>
          <c:spPr>
            <a:ln w="5080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HRDY!$Q$17:$Q$21</c:f>
              <c:numCache>
                <c:formatCode>0.00</c:formatCode>
                <c:ptCount val="5"/>
                <c:pt idx="0">
                  <c:v>2.0166666666666666</c:v>
                </c:pt>
                <c:pt idx="1">
                  <c:v>0.89</c:v>
                </c:pt>
                <c:pt idx="2">
                  <c:v>0.6166666666666667</c:v>
                </c:pt>
                <c:pt idx="3">
                  <c:v>0.56999999999999995</c:v>
                </c:pt>
                <c:pt idx="4">
                  <c:v>0.58666666666666678</c:v>
                </c:pt>
              </c:numCache>
            </c:numRef>
          </c:xVal>
          <c:yVal>
            <c:numRef>
              <c:f>HRDY!$O$17:$O$21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35</c:v>
                </c:pt>
                <c:pt idx="3">
                  <c:v>62.5</c:v>
                </c:pt>
                <c:pt idx="4">
                  <c:v>87.5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79-BF43-89DF-EE1CA90EB124}"/>
            </c:ext>
          </c:extLst>
        </c:ser>
        <c:ser>
          <c:idx val="1"/>
          <c:order val="2"/>
          <c:tx>
            <c:v>Control (n=3)</c:v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HRDY!$Q$32:$Q$36</c:f>
              <c:numCache>
                <c:formatCode>0.00</c:formatCode>
                <c:ptCount val="5"/>
                <c:pt idx="0">
                  <c:v>0.94666666666666666</c:v>
                </c:pt>
                <c:pt idx="1">
                  <c:v>0.76000000000000012</c:v>
                </c:pt>
                <c:pt idx="2">
                  <c:v>0.57666666666666666</c:v>
                </c:pt>
                <c:pt idx="3">
                  <c:v>0.42333333333333334</c:v>
                </c:pt>
                <c:pt idx="4">
                  <c:v>0.34999999999999992</c:v>
                </c:pt>
              </c:numCache>
            </c:numRef>
          </c:xVal>
          <c:yVal>
            <c:numRef>
              <c:f>HRDY!$O$32:$O$36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35</c:v>
                </c:pt>
                <c:pt idx="3">
                  <c:v>62.5</c:v>
                </c:pt>
                <c:pt idx="4">
                  <c:v>87.5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579-BF43-89DF-EE1CA90EB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052463"/>
        <c:axId val="1232459775"/>
      </c:scatterChart>
      <c:valAx>
        <c:axId val="1332052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/>
                  <a:t>C (%)</a:t>
                </a:r>
              </a:p>
            </c:rich>
          </c:tx>
          <c:layout>
            <c:manualLayout>
              <c:xMode val="edge"/>
              <c:yMode val="edge"/>
              <c:x val="0.47650471221302654"/>
              <c:y val="0.937218227027618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459775"/>
        <c:crosses val="max"/>
        <c:crossBetween val="midCat"/>
      </c:valAx>
      <c:valAx>
        <c:axId val="1232459775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/>
                  <a:t>Depth</a:t>
                </a:r>
                <a:r>
                  <a:rPr lang="en-US" sz="2400" baseline="0"/>
                  <a:t> (cm)</a:t>
                </a:r>
                <a:endParaRPr lang="en-US" sz="2400"/>
              </a:p>
            </c:rich>
          </c:tx>
          <c:layout>
            <c:manualLayout>
              <c:xMode val="edge"/>
              <c:yMode val="edge"/>
              <c:x val="2.2123893805309734E-3"/>
              <c:y val="0.403341516490577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052463"/>
        <c:crossesAt val="-600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834600277510708"/>
          <c:y val="0.64707598019892831"/>
          <c:w val="0.21028267787915259"/>
          <c:h val="0.194751844121541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Perennial</a:t>
            </a:r>
            <a:r>
              <a:rPr lang="en-US" baseline="0"/>
              <a:t> Hedgerows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87482223602384"/>
          <c:y val="7.5691853803987338E-2"/>
          <c:w val="0.82603039840640935"/>
          <c:h val="0.79481143544725019"/>
        </c:manualLayout>
      </c:layout>
      <c:scatterChart>
        <c:scatterStyle val="smoothMarker"/>
        <c:varyColors val="0"/>
        <c:ser>
          <c:idx val="0"/>
          <c:order val="0"/>
          <c:tx>
            <c:v>1996-1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HRDY!$P$2:$P$6</c:f>
              <c:numCache>
                <c:formatCode>0.00</c:formatCode>
                <c:ptCount val="5"/>
                <c:pt idx="0">
                  <c:v>2.0699999999999998</c:v>
                </c:pt>
                <c:pt idx="1">
                  <c:v>0.71</c:v>
                </c:pt>
                <c:pt idx="2">
                  <c:v>0.47</c:v>
                </c:pt>
                <c:pt idx="3">
                  <c:v>0.33</c:v>
                </c:pt>
                <c:pt idx="4">
                  <c:v>0.32</c:v>
                </c:pt>
              </c:numCache>
            </c:numRef>
          </c:xVal>
          <c:yVal>
            <c:numRef>
              <c:f>HRDY!$O$2:$O$6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35</c:v>
                </c:pt>
                <c:pt idx="3">
                  <c:v>62.5</c:v>
                </c:pt>
                <c:pt idx="4">
                  <c:v>87.5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25-8F41-927F-5F9B54249DD6}"/>
            </c:ext>
          </c:extLst>
        </c:ser>
        <c:ser>
          <c:idx val="1"/>
          <c:order val="1"/>
          <c:tx>
            <c:v>1996-2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HRDY!$P$7:$P$11</c:f>
              <c:numCache>
                <c:formatCode>0.00</c:formatCode>
                <c:ptCount val="5"/>
                <c:pt idx="0">
                  <c:v>1.92</c:v>
                </c:pt>
                <c:pt idx="1">
                  <c:v>1</c:v>
                </c:pt>
                <c:pt idx="2">
                  <c:v>0.61</c:v>
                </c:pt>
                <c:pt idx="3">
                  <c:v>0.54</c:v>
                </c:pt>
                <c:pt idx="4">
                  <c:v>0.72</c:v>
                </c:pt>
              </c:numCache>
            </c:numRef>
          </c:xVal>
          <c:yVal>
            <c:numRef>
              <c:f>HRDY!$O$7:$O$11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35</c:v>
                </c:pt>
                <c:pt idx="3">
                  <c:v>62.5</c:v>
                </c:pt>
                <c:pt idx="4">
                  <c:v>87.5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25-8F41-927F-5F9B54249DD6}"/>
            </c:ext>
          </c:extLst>
        </c:ser>
        <c:ser>
          <c:idx val="2"/>
          <c:order val="2"/>
          <c:tx>
            <c:v>1996-3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HRDY!$P$12:$P$16</c:f>
              <c:numCache>
                <c:formatCode>0.00</c:formatCode>
                <c:ptCount val="5"/>
                <c:pt idx="0">
                  <c:v>1.96</c:v>
                </c:pt>
                <c:pt idx="1">
                  <c:v>1.04</c:v>
                </c:pt>
                <c:pt idx="2">
                  <c:v>0.43</c:v>
                </c:pt>
                <c:pt idx="3">
                  <c:v>0.44</c:v>
                </c:pt>
                <c:pt idx="4">
                  <c:v>0.56000000000000005</c:v>
                </c:pt>
              </c:numCache>
            </c:numRef>
          </c:xVal>
          <c:yVal>
            <c:numRef>
              <c:f>HRDY!$O$12:$O$16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35</c:v>
                </c:pt>
                <c:pt idx="3">
                  <c:v>62.5</c:v>
                </c:pt>
                <c:pt idx="4">
                  <c:v>87.5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325-8F41-927F-5F9B54249DD6}"/>
            </c:ext>
          </c:extLst>
        </c:ser>
        <c:ser>
          <c:idx val="3"/>
          <c:order val="3"/>
          <c:tx>
            <c:v>2015-1</c:v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HRDY!$P$17:$P$21</c:f>
              <c:numCache>
                <c:formatCode>0.00</c:formatCode>
                <c:ptCount val="5"/>
                <c:pt idx="0">
                  <c:v>2.54</c:v>
                </c:pt>
                <c:pt idx="1">
                  <c:v>0.86</c:v>
                </c:pt>
                <c:pt idx="2" formatCode="General">
                  <c:v>0.62</c:v>
                </c:pt>
                <c:pt idx="3" formatCode="General">
                  <c:v>0.54</c:v>
                </c:pt>
                <c:pt idx="4" formatCode="General">
                  <c:v>0.45</c:v>
                </c:pt>
              </c:numCache>
            </c:numRef>
          </c:xVal>
          <c:yVal>
            <c:numRef>
              <c:f>HRDY!$O$17:$O$21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35</c:v>
                </c:pt>
                <c:pt idx="3">
                  <c:v>62.5</c:v>
                </c:pt>
                <c:pt idx="4">
                  <c:v>87.5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325-8F41-927F-5F9B54249DD6}"/>
            </c:ext>
          </c:extLst>
        </c:ser>
        <c:ser>
          <c:idx val="4"/>
          <c:order val="4"/>
          <c:tx>
            <c:v>2015-2</c:v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HRDY!$P$22:$P$26</c:f>
              <c:numCache>
                <c:formatCode>General</c:formatCode>
                <c:ptCount val="5"/>
                <c:pt idx="0">
                  <c:v>2.06</c:v>
                </c:pt>
                <c:pt idx="1">
                  <c:v>1.1100000000000001</c:v>
                </c:pt>
                <c:pt idx="2">
                  <c:v>0.68</c:v>
                </c:pt>
                <c:pt idx="3">
                  <c:v>0.63</c:v>
                </c:pt>
                <c:pt idx="4">
                  <c:v>0.66</c:v>
                </c:pt>
              </c:numCache>
            </c:numRef>
          </c:xVal>
          <c:yVal>
            <c:numRef>
              <c:f>HRDY!$O$22:$O$26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35</c:v>
                </c:pt>
                <c:pt idx="3">
                  <c:v>62.5</c:v>
                </c:pt>
                <c:pt idx="4">
                  <c:v>87.5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325-8F41-927F-5F9B54249DD6}"/>
            </c:ext>
          </c:extLst>
        </c:ser>
        <c:ser>
          <c:idx val="5"/>
          <c:order val="5"/>
          <c:tx>
            <c:v>2015-3</c:v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HRDY!$P$27:$P$31</c:f>
              <c:numCache>
                <c:formatCode>General</c:formatCode>
                <c:ptCount val="5"/>
                <c:pt idx="0">
                  <c:v>1.45</c:v>
                </c:pt>
                <c:pt idx="1">
                  <c:v>0.7</c:v>
                </c:pt>
                <c:pt idx="2">
                  <c:v>0.55000000000000004</c:v>
                </c:pt>
                <c:pt idx="3">
                  <c:v>0.54</c:v>
                </c:pt>
                <c:pt idx="4">
                  <c:v>0.65</c:v>
                </c:pt>
              </c:numCache>
            </c:numRef>
          </c:xVal>
          <c:yVal>
            <c:numRef>
              <c:f>HRDY!$O$27:$O$31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35</c:v>
                </c:pt>
                <c:pt idx="3">
                  <c:v>62.5</c:v>
                </c:pt>
                <c:pt idx="4">
                  <c:v>87.5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325-8F41-927F-5F9B54249DD6}"/>
            </c:ext>
          </c:extLst>
        </c:ser>
        <c:ser>
          <c:idx val="6"/>
          <c:order val="6"/>
          <c:tx>
            <c:v>Control-1</c:v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HRDY!$P$32:$P$36</c:f>
              <c:numCache>
                <c:formatCode>General</c:formatCode>
                <c:ptCount val="5"/>
                <c:pt idx="0">
                  <c:v>0.94</c:v>
                </c:pt>
                <c:pt idx="1">
                  <c:v>0.76</c:v>
                </c:pt>
                <c:pt idx="2">
                  <c:v>0.59</c:v>
                </c:pt>
                <c:pt idx="3">
                  <c:v>0.44</c:v>
                </c:pt>
                <c:pt idx="4">
                  <c:v>0.37</c:v>
                </c:pt>
              </c:numCache>
            </c:numRef>
          </c:xVal>
          <c:yVal>
            <c:numRef>
              <c:f>HRDY!$O$32:$O$36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35</c:v>
                </c:pt>
                <c:pt idx="3">
                  <c:v>62.5</c:v>
                </c:pt>
                <c:pt idx="4">
                  <c:v>87.5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325-8F41-927F-5F9B54249DD6}"/>
            </c:ext>
          </c:extLst>
        </c:ser>
        <c:ser>
          <c:idx val="7"/>
          <c:order val="7"/>
          <c:tx>
            <c:v>Control-2</c:v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HRDY!$P$37:$P$41</c:f>
              <c:numCache>
                <c:formatCode>General</c:formatCode>
                <c:ptCount val="5"/>
                <c:pt idx="0">
                  <c:v>0.99</c:v>
                </c:pt>
                <c:pt idx="1">
                  <c:v>0.81</c:v>
                </c:pt>
                <c:pt idx="2">
                  <c:v>0.51</c:v>
                </c:pt>
                <c:pt idx="3">
                  <c:v>0.38</c:v>
                </c:pt>
                <c:pt idx="4">
                  <c:v>0.32</c:v>
                </c:pt>
              </c:numCache>
            </c:numRef>
          </c:xVal>
          <c:yVal>
            <c:numRef>
              <c:f>HRDY!$O$37:$O$41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35</c:v>
                </c:pt>
                <c:pt idx="3">
                  <c:v>62.5</c:v>
                </c:pt>
                <c:pt idx="4">
                  <c:v>87.5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325-8F41-927F-5F9B54249DD6}"/>
            </c:ext>
          </c:extLst>
        </c:ser>
        <c:ser>
          <c:idx val="8"/>
          <c:order val="8"/>
          <c:tx>
            <c:v>Control-3</c:v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HRDY!$P$42:$P$46</c:f>
              <c:numCache>
                <c:formatCode>General</c:formatCode>
                <c:ptCount val="5"/>
                <c:pt idx="0">
                  <c:v>0.91</c:v>
                </c:pt>
                <c:pt idx="1">
                  <c:v>0.71</c:v>
                </c:pt>
                <c:pt idx="2">
                  <c:v>0.63</c:v>
                </c:pt>
                <c:pt idx="3">
                  <c:v>0.45</c:v>
                </c:pt>
                <c:pt idx="4">
                  <c:v>0.36</c:v>
                </c:pt>
              </c:numCache>
            </c:numRef>
          </c:xVal>
          <c:yVal>
            <c:numRef>
              <c:f>HRDY!$O$42:$O$46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35</c:v>
                </c:pt>
                <c:pt idx="3">
                  <c:v>62.5</c:v>
                </c:pt>
                <c:pt idx="4">
                  <c:v>87.5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325-8F41-927F-5F9B54249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052463"/>
        <c:axId val="1232459775"/>
      </c:scatterChart>
      <c:valAx>
        <c:axId val="1332052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/>
                  <a:t>C</a:t>
                </a:r>
                <a:r>
                  <a:rPr lang="en-US" sz="2400" baseline="0"/>
                  <a:t> (%)</a:t>
                </a:r>
                <a:endParaRPr lang="en-US" sz="2400"/>
              </a:p>
            </c:rich>
          </c:tx>
          <c:layout>
            <c:manualLayout>
              <c:xMode val="edge"/>
              <c:yMode val="edge"/>
              <c:x val="0.44020058509679444"/>
              <c:y val="0.944350878485757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459775"/>
        <c:crosses val="max"/>
        <c:crossBetween val="midCat"/>
      </c:valAx>
      <c:valAx>
        <c:axId val="1232459775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/>
                  <a:t>Depth</a:t>
                </a:r>
                <a:r>
                  <a:rPr lang="en-US" sz="2400" baseline="0"/>
                  <a:t> (cm)</a:t>
                </a:r>
                <a:endParaRPr lang="en-US" sz="2400"/>
              </a:p>
            </c:rich>
          </c:tx>
          <c:layout>
            <c:manualLayout>
              <c:xMode val="edge"/>
              <c:yMode val="edge"/>
              <c:x val="2.2123893805309734E-3"/>
              <c:y val="0.403341516490577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052463"/>
        <c:crossesAt val="-600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885711499250006"/>
          <c:y val="0.47121531863223265"/>
          <c:w val="0.22017835623886228"/>
          <c:h val="0.376452524261324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203486</xdr:colOff>
      <xdr:row>1</xdr:row>
      <xdr:rowOff>111018</xdr:rowOff>
    </xdr:from>
    <xdr:to>
      <xdr:col>30</xdr:col>
      <xdr:colOff>413821</xdr:colOff>
      <xdr:row>45</xdr:row>
      <xdr:rowOff>31893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76E129-8A47-2C4F-A92F-C9EAAE1768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813371</xdr:colOff>
      <xdr:row>2</xdr:row>
      <xdr:rowOff>85618</xdr:rowOff>
    </xdr:from>
    <xdr:to>
      <xdr:col>45</xdr:col>
      <xdr:colOff>142697</xdr:colOff>
      <xdr:row>46</xdr:row>
      <xdr:rowOff>6494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0615D2-2E07-3B43-8659-B31726D21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47</xdr:row>
      <xdr:rowOff>0</xdr:rowOff>
    </xdr:from>
    <xdr:to>
      <xdr:col>30</xdr:col>
      <xdr:colOff>210335</xdr:colOff>
      <xdr:row>90</xdr:row>
      <xdr:rowOff>149190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C40FBA-029D-3849-8D08-ADFE0FBC39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485168</xdr:colOff>
      <xdr:row>47</xdr:row>
      <xdr:rowOff>199774</xdr:rowOff>
    </xdr:from>
    <xdr:to>
      <xdr:col>44</xdr:col>
      <xdr:colOff>656404</xdr:colOff>
      <xdr:row>91</xdr:row>
      <xdr:rowOff>149189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9E76398-2D75-A54F-85D9-AE54A5716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C6BD-A1F3-2647-A172-1D4658AB6A04}">
  <dimension ref="A1:S46"/>
  <sheetViews>
    <sheetView tabSelected="1" zoomScale="50" zoomScaleNormal="162" workbookViewId="0">
      <selection activeCell="J2" sqref="J2"/>
    </sheetView>
  </sheetViews>
  <sheetFormatPr baseColWidth="10" defaultColWidth="11" defaultRowHeight="16" x14ac:dyDescent="0.2"/>
  <cols>
    <col min="1" max="1" width="8" bestFit="1" customWidth="1"/>
    <col min="2" max="2" width="20" bestFit="1" customWidth="1"/>
    <col min="3" max="3" width="7.1640625" bestFit="1" customWidth="1"/>
    <col min="4" max="4" width="4.6640625" bestFit="1" customWidth="1"/>
    <col min="5" max="5" width="9.33203125" bestFit="1" customWidth="1"/>
    <col min="6" max="6" width="13.83203125" style="9" bestFit="1" customWidth="1"/>
    <col min="7" max="7" width="17.5" style="9" bestFit="1" customWidth="1"/>
    <col min="8" max="8" width="7.6640625" style="12" bestFit="1" customWidth="1"/>
    <col min="9" max="9" width="10.6640625" style="12" bestFit="1" customWidth="1"/>
    <col min="10" max="10" width="11.33203125" style="12" bestFit="1" customWidth="1"/>
    <col min="11" max="11" width="13.1640625" style="12" bestFit="1" customWidth="1"/>
    <col min="12" max="12" width="8" bestFit="1" customWidth="1"/>
    <col min="13" max="13" width="10.1640625" bestFit="1" customWidth="1"/>
    <col min="14" max="14" width="13.5" bestFit="1" customWidth="1"/>
    <col min="15" max="15" width="10.5" bestFit="1" customWidth="1"/>
    <col min="16" max="16" width="9.6640625" bestFit="1" customWidth="1"/>
    <col min="17" max="17" width="12.6640625" bestFit="1" customWidth="1"/>
    <col min="18" max="18" width="9.66406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9" t="s">
        <v>5</v>
      </c>
      <c r="G1" s="9" t="s">
        <v>6</v>
      </c>
      <c r="H1" s="12" t="s">
        <v>7</v>
      </c>
      <c r="I1" s="12" t="s">
        <v>8</v>
      </c>
      <c r="J1" s="12" t="s">
        <v>109</v>
      </c>
      <c r="K1" s="12" t="s">
        <v>110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111</v>
      </c>
      <c r="R1" t="s">
        <v>77</v>
      </c>
      <c r="S1" t="s">
        <v>108</v>
      </c>
    </row>
    <row r="2" spans="1:19" x14ac:dyDescent="0.2">
      <c r="A2">
        <v>193600</v>
      </c>
      <c r="B2" t="s">
        <v>14</v>
      </c>
      <c r="C2" t="s">
        <v>15</v>
      </c>
      <c r="D2">
        <v>1</v>
      </c>
      <c r="E2" t="s">
        <v>16</v>
      </c>
      <c r="F2" s="9">
        <v>1.0036</v>
      </c>
      <c r="G2" s="9">
        <v>3.3999999999999998E-3</v>
      </c>
      <c r="H2" s="12">
        <v>-5.4</v>
      </c>
      <c r="I2" s="12">
        <v>3.4</v>
      </c>
      <c r="J2" s="12">
        <f>AVERAGE((H2,H7,H12))</f>
        <v>-8.8333333333333339</v>
      </c>
      <c r="K2" s="12">
        <f>STDEV(H2,H7,H12)</f>
        <v>5.6038677119765552</v>
      </c>
      <c r="L2" s="1">
        <v>45541</v>
      </c>
      <c r="M2">
        <v>0</v>
      </c>
      <c r="N2">
        <v>10</v>
      </c>
      <c r="O2">
        <v>5</v>
      </c>
      <c r="P2" s="4">
        <v>2.0699999999999998</v>
      </c>
      <c r="Q2" s="4">
        <f>AVERAGE(P2,P7,P12)</f>
        <v>1.9833333333333332</v>
      </c>
      <c r="R2" s="4">
        <v>0.18</v>
      </c>
    </row>
    <row r="3" spans="1:19" x14ac:dyDescent="0.2">
      <c r="A3">
        <v>193601</v>
      </c>
      <c r="B3" t="s">
        <v>17</v>
      </c>
      <c r="C3" t="s">
        <v>15</v>
      </c>
      <c r="D3">
        <v>1</v>
      </c>
      <c r="E3" t="s">
        <v>18</v>
      </c>
      <c r="F3" s="9">
        <v>0.85189999999999999</v>
      </c>
      <c r="G3" s="9">
        <v>2.8999999999999998E-3</v>
      </c>
      <c r="H3" s="12">
        <v>-155.6</v>
      </c>
      <c r="I3" s="12">
        <v>2.9</v>
      </c>
      <c r="J3" s="12">
        <f>AVERAGE((H3,H8,H13))</f>
        <v>-85.033333333333331</v>
      </c>
      <c r="K3" s="12">
        <f t="shared" ref="K3:K4" si="0">STDEV(H3,H8,H13)</f>
        <v>61.966146671657206</v>
      </c>
      <c r="L3" s="1">
        <v>45541</v>
      </c>
      <c r="M3">
        <v>10</v>
      </c>
      <c r="N3">
        <v>20</v>
      </c>
      <c r="O3">
        <v>15</v>
      </c>
      <c r="P3" s="4">
        <v>0.71</v>
      </c>
      <c r="Q3" s="4">
        <f t="shared" ref="Q3:Q6" si="1">AVERAGE(P3,P8,P13)</f>
        <v>0.91666666666666663</v>
      </c>
      <c r="R3" s="4">
        <v>0.08</v>
      </c>
    </row>
    <row r="4" spans="1:19" x14ac:dyDescent="0.2">
      <c r="A4">
        <v>193602</v>
      </c>
      <c r="B4" t="s">
        <v>19</v>
      </c>
      <c r="C4" t="s">
        <v>15</v>
      </c>
      <c r="D4">
        <v>1</v>
      </c>
      <c r="E4" t="s">
        <v>20</v>
      </c>
      <c r="F4" s="9">
        <v>0.71889999999999998</v>
      </c>
      <c r="G4" s="9">
        <v>2.5000000000000001E-3</v>
      </c>
      <c r="H4" s="12">
        <v>-287.5</v>
      </c>
      <c r="I4" s="12">
        <v>2.5</v>
      </c>
      <c r="J4" s="12">
        <f>AVERAGE((H4,H9,H14))</f>
        <v>-239.23333333333335</v>
      </c>
      <c r="K4" s="12">
        <f t="shared" si="0"/>
        <v>53.318508356229614</v>
      </c>
      <c r="L4" s="1">
        <v>45541</v>
      </c>
      <c r="M4">
        <v>20</v>
      </c>
      <c r="N4">
        <v>50</v>
      </c>
      <c r="O4">
        <v>35</v>
      </c>
      <c r="P4" s="4">
        <v>0.47</v>
      </c>
      <c r="Q4" s="4">
        <f t="shared" si="1"/>
        <v>0.5033333333333333</v>
      </c>
      <c r="R4" s="4">
        <v>0.05</v>
      </c>
    </row>
    <row r="5" spans="1:19" x14ac:dyDescent="0.2">
      <c r="A5">
        <v>193726</v>
      </c>
      <c r="B5" t="s">
        <v>21</v>
      </c>
      <c r="C5" t="s">
        <v>15</v>
      </c>
      <c r="D5">
        <v>1</v>
      </c>
      <c r="E5" t="s">
        <v>22</v>
      </c>
      <c r="F5" s="9">
        <v>0.58919999999999995</v>
      </c>
      <c r="G5" s="9">
        <v>5.4999999999999997E-3</v>
      </c>
      <c r="H5" s="12">
        <v>-416</v>
      </c>
      <c r="I5" s="12">
        <v>5.5</v>
      </c>
      <c r="J5" s="12">
        <f>AVERAGE((H5,H10,H15))</f>
        <v>-328.73333333333335</v>
      </c>
      <c r="K5" s="12">
        <f>STDEV(H5,H10,H15)</f>
        <v>84.456458209738713</v>
      </c>
      <c r="L5" s="1">
        <v>45553</v>
      </c>
      <c r="M5">
        <v>50</v>
      </c>
      <c r="N5">
        <v>75</v>
      </c>
      <c r="O5">
        <v>62.5</v>
      </c>
      <c r="P5" s="4">
        <v>0.33</v>
      </c>
      <c r="Q5" s="4">
        <f t="shared" si="1"/>
        <v>0.4366666666666667</v>
      </c>
      <c r="R5" s="4">
        <v>0.05</v>
      </c>
    </row>
    <row r="6" spans="1:19" x14ac:dyDescent="0.2">
      <c r="A6" s="2">
        <v>193727</v>
      </c>
      <c r="B6" s="2" t="s">
        <v>23</v>
      </c>
      <c r="C6" s="2" t="s">
        <v>15</v>
      </c>
      <c r="D6" s="2">
        <v>1</v>
      </c>
      <c r="E6" s="2" t="s">
        <v>24</v>
      </c>
      <c r="F6" s="10">
        <v>0.52359999999999995</v>
      </c>
      <c r="G6" s="10">
        <v>6.0000000000000001E-3</v>
      </c>
      <c r="H6" s="13">
        <v>-481.1</v>
      </c>
      <c r="I6" s="13">
        <v>6</v>
      </c>
      <c r="J6" s="13">
        <f>AVERAGE((H6,H11,H16))</f>
        <v>-241.33333333333334</v>
      </c>
      <c r="K6" s="13">
        <f>STDEV(H6,H11,H16)</f>
        <v>207.6726831659218</v>
      </c>
      <c r="L6" s="3">
        <v>45553</v>
      </c>
      <c r="M6" s="2">
        <v>75</v>
      </c>
      <c r="N6" s="2">
        <v>100</v>
      </c>
      <c r="O6" s="2">
        <v>87.5</v>
      </c>
      <c r="P6" s="5">
        <v>0.32</v>
      </c>
      <c r="Q6" s="4">
        <f t="shared" si="1"/>
        <v>0.53333333333333333</v>
      </c>
      <c r="R6" s="5">
        <v>0.04</v>
      </c>
    </row>
    <row r="7" spans="1:19" x14ac:dyDescent="0.2">
      <c r="A7">
        <v>193603</v>
      </c>
      <c r="B7" t="s">
        <v>25</v>
      </c>
      <c r="C7" t="s">
        <v>15</v>
      </c>
      <c r="D7">
        <v>2</v>
      </c>
      <c r="E7" t="s">
        <v>26</v>
      </c>
      <c r="F7" s="9">
        <v>1.0032000000000001</v>
      </c>
      <c r="G7" s="9">
        <v>3.3E-3</v>
      </c>
      <c r="H7" s="12">
        <v>-5.8</v>
      </c>
      <c r="I7" s="12">
        <v>3.3</v>
      </c>
      <c r="L7" s="1">
        <v>45541</v>
      </c>
      <c r="M7">
        <v>0</v>
      </c>
      <c r="N7">
        <v>10</v>
      </c>
      <c r="O7">
        <v>5</v>
      </c>
      <c r="P7" s="4">
        <v>1.92</v>
      </c>
      <c r="Q7" s="4"/>
      <c r="R7" s="4">
        <v>0.19</v>
      </c>
    </row>
    <row r="8" spans="1:19" x14ac:dyDescent="0.2">
      <c r="A8">
        <v>193604</v>
      </c>
      <c r="B8" t="s">
        <v>27</v>
      </c>
      <c r="C8" t="s">
        <v>15</v>
      </c>
      <c r="D8">
        <v>2</v>
      </c>
      <c r="E8" t="s">
        <v>28</v>
      </c>
      <c r="F8" s="9">
        <v>0.94850000000000001</v>
      </c>
      <c r="G8" s="9">
        <v>3.0999999999999999E-3</v>
      </c>
      <c r="H8" s="12">
        <v>-60</v>
      </c>
      <c r="I8" s="12">
        <v>3.1</v>
      </c>
      <c r="L8" s="1">
        <v>45541</v>
      </c>
      <c r="M8">
        <v>10</v>
      </c>
      <c r="N8">
        <v>20</v>
      </c>
      <c r="O8">
        <v>15</v>
      </c>
      <c r="P8" s="4">
        <v>1</v>
      </c>
      <c r="Q8" s="4"/>
      <c r="R8" s="4">
        <v>0.1</v>
      </c>
    </row>
    <row r="9" spans="1:19" x14ac:dyDescent="0.2">
      <c r="A9">
        <v>193605</v>
      </c>
      <c r="B9" t="s">
        <v>29</v>
      </c>
      <c r="C9" t="s">
        <v>15</v>
      </c>
      <c r="D9">
        <v>2</v>
      </c>
      <c r="E9" t="s">
        <v>30</v>
      </c>
      <c r="F9" s="9">
        <v>0.82540000000000002</v>
      </c>
      <c r="G9" s="9">
        <v>2.8E-3</v>
      </c>
      <c r="H9" s="12">
        <v>-182</v>
      </c>
      <c r="I9" s="12">
        <v>2.8</v>
      </c>
      <c r="L9" s="1">
        <v>45541</v>
      </c>
      <c r="M9">
        <v>20</v>
      </c>
      <c r="N9">
        <v>50</v>
      </c>
      <c r="O9">
        <v>35</v>
      </c>
      <c r="P9" s="4">
        <v>0.61</v>
      </c>
      <c r="Q9" s="4"/>
      <c r="R9" s="4">
        <v>7.0000000000000007E-2</v>
      </c>
    </row>
    <row r="10" spans="1:19" x14ac:dyDescent="0.2">
      <c r="A10">
        <v>193728</v>
      </c>
      <c r="B10" t="s">
        <v>31</v>
      </c>
      <c r="C10" t="s">
        <v>15</v>
      </c>
      <c r="D10">
        <v>2</v>
      </c>
      <c r="E10" t="s">
        <v>32</v>
      </c>
      <c r="F10" s="9">
        <v>0.75939999999999996</v>
      </c>
      <c r="G10" s="9">
        <v>4.1999999999999997E-3</v>
      </c>
      <c r="H10" s="12">
        <v>-247.4</v>
      </c>
      <c r="I10" s="12">
        <v>4.2</v>
      </c>
      <c r="L10" s="1">
        <v>45553</v>
      </c>
      <c r="M10">
        <v>50</v>
      </c>
      <c r="N10">
        <v>75</v>
      </c>
      <c r="O10">
        <v>62.5</v>
      </c>
      <c r="P10" s="4">
        <v>0.54</v>
      </c>
      <c r="Q10" s="4"/>
      <c r="R10" s="4">
        <v>0.06</v>
      </c>
    </row>
    <row r="11" spans="1:19" x14ac:dyDescent="0.2">
      <c r="A11" s="2">
        <v>193729</v>
      </c>
      <c r="B11" s="2" t="s">
        <v>33</v>
      </c>
      <c r="C11" s="2" t="s">
        <v>15</v>
      </c>
      <c r="D11" s="2">
        <v>2</v>
      </c>
      <c r="E11" s="2" t="s">
        <v>34</v>
      </c>
      <c r="F11" s="10">
        <v>0.88300000000000001</v>
      </c>
      <c r="G11" s="10">
        <v>3.8E-3</v>
      </c>
      <c r="H11" s="13">
        <v>-124.9</v>
      </c>
      <c r="I11" s="13">
        <v>3.8</v>
      </c>
      <c r="J11" s="13"/>
      <c r="K11" s="13"/>
      <c r="L11" s="3">
        <v>45553</v>
      </c>
      <c r="M11" s="2">
        <v>75</v>
      </c>
      <c r="N11" s="2">
        <v>100</v>
      </c>
      <c r="O11" s="2">
        <v>87.5</v>
      </c>
      <c r="P11" s="5">
        <v>0.72</v>
      </c>
      <c r="Q11" s="5"/>
      <c r="R11" s="5">
        <v>7.0000000000000007E-2</v>
      </c>
    </row>
    <row r="12" spans="1:19" x14ac:dyDescent="0.2">
      <c r="A12">
        <v>193606</v>
      </c>
      <c r="B12" t="s">
        <v>35</v>
      </c>
      <c r="C12" t="s">
        <v>15</v>
      </c>
      <c r="D12">
        <v>3</v>
      </c>
      <c r="E12" t="s">
        <v>36</v>
      </c>
      <c r="F12" s="9">
        <v>0.99360000000000004</v>
      </c>
      <c r="G12" s="9">
        <v>3.3999999999999998E-3</v>
      </c>
      <c r="H12" s="12">
        <v>-15.3</v>
      </c>
      <c r="I12" s="12">
        <v>3.4</v>
      </c>
      <c r="L12" s="1">
        <v>45541</v>
      </c>
      <c r="M12">
        <v>0</v>
      </c>
      <c r="N12">
        <v>10</v>
      </c>
      <c r="O12">
        <v>5</v>
      </c>
      <c r="P12" s="4">
        <v>1.96</v>
      </c>
      <c r="Q12" s="4"/>
      <c r="R12" s="4">
        <v>0.19</v>
      </c>
    </row>
    <row r="13" spans="1:19" x14ac:dyDescent="0.2">
      <c r="A13">
        <v>193607</v>
      </c>
      <c r="B13" t="s">
        <v>37</v>
      </c>
      <c r="C13" t="s">
        <v>15</v>
      </c>
      <c r="D13">
        <v>3</v>
      </c>
      <c r="E13" t="s">
        <v>38</v>
      </c>
      <c r="F13" s="9">
        <v>0.96909999999999996</v>
      </c>
      <c r="G13" s="9">
        <v>3.3E-3</v>
      </c>
      <c r="H13" s="12">
        <v>-39.5</v>
      </c>
      <c r="I13" s="12">
        <v>3.3</v>
      </c>
      <c r="L13" s="1">
        <v>45541</v>
      </c>
      <c r="M13">
        <v>10</v>
      </c>
      <c r="N13">
        <v>20</v>
      </c>
      <c r="O13">
        <v>15</v>
      </c>
      <c r="P13" s="4">
        <v>1.04</v>
      </c>
      <c r="Q13" s="4"/>
      <c r="R13" s="4">
        <v>0.12</v>
      </c>
    </row>
    <row r="14" spans="1:19" x14ac:dyDescent="0.2">
      <c r="A14">
        <v>193608</v>
      </c>
      <c r="B14" t="s">
        <v>39</v>
      </c>
      <c r="C14" t="s">
        <v>15</v>
      </c>
      <c r="D14">
        <v>3</v>
      </c>
      <c r="E14" t="s">
        <v>40</v>
      </c>
      <c r="F14" s="9">
        <v>0.75849999999999995</v>
      </c>
      <c r="G14" s="9">
        <v>2.5999999999999999E-3</v>
      </c>
      <c r="H14" s="12">
        <v>-248.2</v>
      </c>
      <c r="I14" s="12">
        <v>2.6</v>
      </c>
      <c r="L14" s="1">
        <v>45541</v>
      </c>
      <c r="M14">
        <v>20</v>
      </c>
      <c r="N14">
        <v>50</v>
      </c>
      <c r="O14">
        <v>35</v>
      </c>
      <c r="P14" s="4">
        <v>0.43</v>
      </c>
      <c r="Q14" s="4"/>
      <c r="R14" s="4">
        <v>0.06</v>
      </c>
    </row>
    <row r="15" spans="1:19" x14ac:dyDescent="0.2">
      <c r="A15">
        <v>193730</v>
      </c>
      <c r="B15" t="s">
        <v>41</v>
      </c>
      <c r="C15" t="s">
        <v>15</v>
      </c>
      <c r="D15">
        <v>3</v>
      </c>
      <c r="E15" t="s">
        <v>42</v>
      </c>
      <c r="F15" s="9">
        <v>0.68320000000000003</v>
      </c>
      <c r="G15" s="9">
        <v>4.7000000000000002E-3</v>
      </c>
      <c r="H15" s="12">
        <v>-322.8</v>
      </c>
      <c r="I15" s="12">
        <v>4.7</v>
      </c>
      <c r="L15" s="1">
        <v>45553</v>
      </c>
      <c r="M15">
        <v>50</v>
      </c>
      <c r="N15">
        <v>75</v>
      </c>
      <c r="O15">
        <v>62.5</v>
      </c>
      <c r="P15" s="4">
        <v>0.44</v>
      </c>
      <c r="Q15" s="4"/>
      <c r="R15" s="4">
        <v>0.05</v>
      </c>
    </row>
    <row r="16" spans="1:19" ht="17" thickBot="1" x14ac:dyDescent="0.25">
      <c r="A16" s="6">
        <v>193731</v>
      </c>
      <c r="B16" s="6" t="s">
        <v>43</v>
      </c>
      <c r="C16" s="6" t="s">
        <v>15</v>
      </c>
      <c r="D16" s="6">
        <v>3</v>
      </c>
      <c r="E16" s="6" t="s">
        <v>44</v>
      </c>
      <c r="F16" s="11">
        <v>0.89</v>
      </c>
      <c r="G16" s="11">
        <v>3.8E-3</v>
      </c>
      <c r="H16" s="14">
        <v>-118</v>
      </c>
      <c r="I16" s="14">
        <v>3.8</v>
      </c>
      <c r="J16" s="14"/>
      <c r="K16" s="14"/>
      <c r="L16" s="7">
        <v>45553</v>
      </c>
      <c r="M16" s="6">
        <v>75</v>
      </c>
      <c r="N16" s="6">
        <v>100</v>
      </c>
      <c r="O16" s="6">
        <v>87.5</v>
      </c>
      <c r="P16" s="8">
        <v>0.56000000000000005</v>
      </c>
      <c r="Q16" s="8"/>
      <c r="R16" s="8">
        <v>0.06</v>
      </c>
      <c r="S16" s="6"/>
    </row>
    <row r="17" spans="1:18" x14ac:dyDescent="0.2">
      <c r="A17">
        <v>193609</v>
      </c>
      <c r="B17" t="s">
        <v>45</v>
      </c>
      <c r="C17" t="s">
        <v>46</v>
      </c>
      <c r="D17">
        <v>1</v>
      </c>
      <c r="E17" t="s">
        <v>47</v>
      </c>
      <c r="F17" s="9">
        <v>0.98919999999999997</v>
      </c>
      <c r="G17" s="9">
        <v>3.3E-3</v>
      </c>
      <c r="H17" s="12">
        <v>-19.600000000000001</v>
      </c>
      <c r="I17" s="12">
        <v>3.3</v>
      </c>
      <c r="J17" s="12">
        <f>AVERAGE((H17,H22,H27))</f>
        <v>-31.063939086286553</v>
      </c>
      <c r="K17" s="12">
        <f>STDEV(H17,H22,H27)</f>
        <v>22.863898985133513</v>
      </c>
      <c r="L17" s="1">
        <v>45541</v>
      </c>
      <c r="M17">
        <v>0</v>
      </c>
      <c r="N17">
        <v>10</v>
      </c>
      <c r="O17">
        <v>5</v>
      </c>
      <c r="P17" s="4">
        <v>2.54</v>
      </c>
      <c r="Q17" s="4">
        <f>AVERAGE(P17,P22,P27)</f>
        <v>2.0166666666666666</v>
      </c>
      <c r="R17" s="4">
        <v>0.19</v>
      </c>
    </row>
    <row r="18" spans="1:18" x14ac:dyDescent="0.2">
      <c r="A18">
        <v>193799</v>
      </c>
      <c r="B18" t="s">
        <v>78</v>
      </c>
      <c r="C18" t="s">
        <v>46</v>
      </c>
      <c r="D18">
        <v>1</v>
      </c>
      <c r="E18" t="s">
        <v>79</v>
      </c>
      <c r="F18" s="9">
        <v>0.85002529368659785</v>
      </c>
      <c r="G18" s="9">
        <v>2.2052411609988463E-3</v>
      </c>
      <c r="H18" s="12">
        <v>-157.54954417551181</v>
      </c>
      <c r="I18" s="12">
        <v>2.2052411609988463</v>
      </c>
      <c r="J18" s="12">
        <f>AVERAGE((H18,H23,H28))</f>
        <v>-96.149848058503949</v>
      </c>
      <c r="K18" s="12">
        <f>STDEV(H18,H23,H28)</f>
        <v>61.324909396147326</v>
      </c>
      <c r="L18" s="1">
        <v>45602</v>
      </c>
      <c r="M18">
        <v>10</v>
      </c>
      <c r="N18">
        <v>20</v>
      </c>
      <c r="O18">
        <v>15</v>
      </c>
      <c r="P18" s="4">
        <v>0.86</v>
      </c>
      <c r="Q18" s="4">
        <f t="shared" ref="Q18:Q21" si="2">AVERAGE(P18,P23,P28)</f>
        <v>0.89</v>
      </c>
      <c r="R18" s="4">
        <v>0.09</v>
      </c>
    </row>
    <row r="19" spans="1:18" x14ac:dyDescent="0.2">
      <c r="A19">
        <v>193610</v>
      </c>
      <c r="B19" t="s">
        <v>48</v>
      </c>
      <c r="C19" t="s">
        <v>46</v>
      </c>
      <c r="D19">
        <v>1</v>
      </c>
      <c r="E19" t="s">
        <v>49</v>
      </c>
      <c r="F19" s="9">
        <v>0.83720000000000006</v>
      </c>
      <c r="G19" s="9">
        <v>2.8E-3</v>
      </c>
      <c r="H19" s="12">
        <v>-170.2</v>
      </c>
      <c r="I19" s="12">
        <v>2.8</v>
      </c>
      <c r="J19" s="12">
        <f>AVERAGE((H19,H24,H29))</f>
        <v>-167.56666666666666</v>
      </c>
      <c r="K19" s="12">
        <f>STDEV(H19,H24,H29)</f>
        <v>16.706386004559267</v>
      </c>
      <c r="L19" s="1">
        <v>45541</v>
      </c>
      <c r="M19">
        <v>20</v>
      </c>
      <c r="N19">
        <v>50</v>
      </c>
      <c r="O19">
        <v>35</v>
      </c>
      <c r="P19">
        <v>0.62</v>
      </c>
      <c r="Q19" s="4">
        <f t="shared" si="2"/>
        <v>0.6166666666666667</v>
      </c>
      <c r="R19">
        <v>7.0000000000000007E-2</v>
      </c>
    </row>
    <row r="20" spans="1:18" x14ac:dyDescent="0.2">
      <c r="A20">
        <v>193732</v>
      </c>
      <c r="B20" t="s">
        <v>50</v>
      </c>
      <c r="C20" t="s">
        <v>46</v>
      </c>
      <c r="D20">
        <v>1</v>
      </c>
      <c r="E20" t="s">
        <v>51</v>
      </c>
      <c r="F20" s="9">
        <v>0.72660000000000002</v>
      </c>
      <c r="G20" s="9">
        <v>4.4000000000000003E-3</v>
      </c>
      <c r="H20" s="12">
        <v>-279.89999999999998</v>
      </c>
      <c r="I20" s="12">
        <v>4.4000000000000004</v>
      </c>
      <c r="J20" s="12">
        <f>AVERAGE((H20,H25,H30))</f>
        <v>-234.33333333333334</v>
      </c>
      <c r="K20" s="12">
        <f>STDEV(H20,H25,H30)</f>
        <v>81.273263336310805</v>
      </c>
      <c r="L20" s="1">
        <v>45553</v>
      </c>
      <c r="M20">
        <v>50</v>
      </c>
      <c r="N20">
        <v>75</v>
      </c>
      <c r="O20">
        <v>62.5</v>
      </c>
      <c r="P20">
        <v>0.54</v>
      </c>
      <c r="Q20" s="4">
        <f t="shared" si="2"/>
        <v>0.56999999999999995</v>
      </c>
      <c r="R20">
        <v>0.06</v>
      </c>
    </row>
    <row r="21" spans="1:18" x14ac:dyDescent="0.2">
      <c r="A21" s="2">
        <v>193733</v>
      </c>
      <c r="B21" s="2" t="s">
        <v>52</v>
      </c>
      <c r="C21" s="2" t="s">
        <v>46</v>
      </c>
      <c r="D21" s="2">
        <v>1</v>
      </c>
      <c r="E21" s="2" t="s">
        <v>53</v>
      </c>
      <c r="F21" s="10">
        <v>0.67510000000000003</v>
      </c>
      <c r="G21" s="10">
        <v>4.7999999999999996E-3</v>
      </c>
      <c r="H21" s="13">
        <v>-330.9</v>
      </c>
      <c r="I21" s="13">
        <v>4.8</v>
      </c>
      <c r="J21" s="13">
        <f>AVERAGE((H21,H26,H31))</f>
        <v>-213.60547137375758</v>
      </c>
      <c r="K21" s="13">
        <f>STDEV(H21,H26,H31)</f>
        <v>102.29129782847517</v>
      </c>
      <c r="L21" s="3">
        <v>45553</v>
      </c>
      <c r="M21" s="2">
        <v>75</v>
      </c>
      <c r="N21" s="2">
        <v>100</v>
      </c>
      <c r="O21" s="2">
        <v>87.5</v>
      </c>
      <c r="P21" s="2">
        <v>0.45</v>
      </c>
      <c r="Q21" s="4">
        <f t="shared" si="2"/>
        <v>0.58666666666666678</v>
      </c>
      <c r="R21" s="2">
        <v>0.06</v>
      </c>
    </row>
    <row r="22" spans="1:18" x14ac:dyDescent="0.2">
      <c r="A22">
        <v>193611</v>
      </c>
      <c r="B22" t="s">
        <v>54</v>
      </c>
      <c r="C22" t="s">
        <v>46</v>
      </c>
      <c r="D22">
        <v>2</v>
      </c>
      <c r="E22" t="s">
        <v>55</v>
      </c>
      <c r="F22" s="9">
        <v>0.99260000000000004</v>
      </c>
      <c r="G22" s="9">
        <v>3.3E-3</v>
      </c>
      <c r="H22" s="12">
        <v>-16.2</v>
      </c>
      <c r="I22" s="12">
        <v>3.3</v>
      </c>
      <c r="L22" s="1">
        <v>45541</v>
      </c>
      <c r="M22">
        <v>0</v>
      </c>
      <c r="N22">
        <v>10</v>
      </c>
      <c r="O22">
        <v>5</v>
      </c>
      <c r="P22">
        <v>2.06</v>
      </c>
      <c r="R22">
        <v>0.15</v>
      </c>
    </row>
    <row r="23" spans="1:18" x14ac:dyDescent="0.2">
      <c r="A23">
        <v>193612</v>
      </c>
      <c r="B23" t="s">
        <v>56</v>
      </c>
      <c r="C23" t="s">
        <v>46</v>
      </c>
      <c r="D23">
        <v>2</v>
      </c>
      <c r="E23" t="s">
        <v>57</v>
      </c>
      <c r="F23" s="9">
        <v>0.97370000000000001</v>
      </c>
      <c r="G23" s="9">
        <v>3.3E-3</v>
      </c>
      <c r="H23" s="12">
        <v>-34.9</v>
      </c>
      <c r="I23" s="12">
        <v>3.3</v>
      </c>
      <c r="L23" s="1">
        <v>45541</v>
      </c>
      <c r="M23">
        <v>10</v>
      </c>
      <c r="N23">
        <v>20</v>
      </c>
      <c r="O23">
        <v>15</v>
      </c>
      <c r="P23">
        <v>1.1100000000000001</v>
      </c>
      <c r="R23">
        <v>0.1</v>
      </c>
    </row>
    <row r="24" spans="1:18" x14ac:dyDescent="0.2">
      <c r="A24">
        <v>193613</v>
      </c>
      <c r="B24" t="s">
        <v>58</v>
      </c>
      <c r="C24" t="s">
        <v>46</v>
      </c>
      <c r="D24">
        <v>2</v>
      </c>
      <c r="E24" t="s">
        <v>59</v>
      </c>
      <c r="F24" s="9">
        <v>0.85799999999999998</v>
      </c>
      <c r="G24" s="9">
        <v>2.8999999999999998E-3</v>
      </c>
      <c r="H24" s="12">
        <v>-149.69999999999999</v>
      </c>
      <c r="I24" s="12">
        <v>2.9</v>
      </c>
      <c r="L24" s="1">
        <v>45541</v>
      </c>
      <c r="M24">
        <v>20</v>
      </c>
      <c r="N24">
        <v>50</v>
      </c>
      <c r="O24">
        <v>35</v>
      </c>
      <c r="P24">
        <v>0.68</v>
      </c>
      <c r="R24">
        <v>7.0000000000000007E-2</v>
      </c>
    </row>
    <row r="25" spans="1:18" x14ac:dyDescent="0.2">
      <c r="A25">
        <v>193734</v>
      </c>
      <c r="B25" t="s">
        <v>60</v>
      </c>
      <c r="C25" t="s">
        <v>46</v>
      </c>
      <c r="D25">
        <v>2</v>
      </c>
      <c r="E25" t="s">
        <v>61</v>
      </c>
      <c r="F25" s="9">
        <v>0.86729999999999996</v>
      </c>
      <c r="G25" s="9">
        <v>3.8E-3</v>
      </c>
      <c r="H25" s="12">
        <v>-140.5</v>
      </c>
      <c r="I25" s="12">
        <v>3.8</v>
      </c>
      <c r="L25" s="1">
        <v>45553</v>
      </c>
      <c r="M25">
        <v>50</v>
      </c>
      <c r="N25">
        <v>75</v>
      </c>
      <c r="O25">
        <v>62.5</v>
      </c>
      <c r="P25">
        <v>0.63</v>
      </c>
      <c r="R25">
        <v>7.0000000000000007E-2</v>
      </c>
    </row>
    <row r="26" spans="1:18" x14ac:dyDescent="0.2">
      <c r="A26" s="2">
        <v>193735</v>
      </c>
      <c r="B26" s="2" t="s">
        <v>62</v>
      </c>
      <c r="C26" s="2" t="s">
        <v>46</v>
      </c>
      <c r="D26" s="2">
        <v>2</v>
      </c>
      <c r="E26" s="2" t="s">
        <v>63</v>
      </c>
      <c r="F26" s="10">
        <v>0.84050000000000002</v>
      </c>
      <c r="G26" s="10">
        <v>3.8999999999999998E-3</v>
      </c>
      <c r="H26" s="13">
        <v>-167</v>
      </c>
      <c r="I26" s="13">
        <v>3.9</v>
      </c>
      <c r="J26" s="13"/>
      <c r="K26" s="13"/>
      <c r="L26" s="3">
        <v>45553</v>
      </c>
      <c r="M26" s="2">
        <v>75</v>
      </c>
      <c r="N26" s="2">
        <v>100</v>
      </c>
      <c r="O26" s="2">
        <v>87.5</v>
      </c>
      <c r="P26" s="2">
        <v>0.66</v>
      </c>
      <c r="Q26" s="2"/>
      <c r="R26" s="2">
        <v>7.0000000000000007E-2</v>
      </c>
    </row>
    <row r="27" spans="1:18" x14ac:dyDescent="0.2">
      <c r="A27">
        <v>193800</v>
      </c>
      <c r="B27" t="s">
        <v>80</v>
      </c>
      <c r="C27" t="s">
        <v>46</v>
      </c>
      <c r="D27">
        <v>3</v>
      </c>
      <c r="E27" t="s">
        <v>81</v>
      </c>
      <c r="F27" s="9">
        <v>0.95108358221703493</v>
      </c>
      <c r="G27" s="9">
        <v>2.4996515617601005E-3</v>
      </c>
      <c r="H27" s="12">
        <v>-57.391817258859668</v>
      </c>
      <c r="I27" s="12">
        <v>2.4996515617601007</v>
      </c>
      <c r="L27" s="1">
        <v>45602</v>
      </c>
      <c r="M27">
        <v>0</v>
      </c>
      <c r="N27">
        <v>10</v>
      </c>
      <c r="O27">
        <v>5</v>
      </c>
      <c r="P27">
        <v>1.45</v>
      </c>
      <c r="R27">
        <v>0.12</v>
      </c>
    </row>
    <row r="28" spans="1:18" x14ac:dyDescent="0.2">
      <c r="A28">
        <v>193614</v>
      </c>
      <c r="B28" t="s">
        <v>64</v>
      </c>
      <c r="C28" t="s">
        <v>46</v>
      </c>
      <c r="D28">
        <v>3</v>
      </c>
      <c r="E28" t="s">
        <v>65</v>
      </c>
      <c r="F28" s="9">
        <v>0.91220000000000001</v>
      </c>
      <c r="G28" s="9">
        <v>3.0999999999999999E-3</v>
      </c>
      <c r="H28" s="12">
        <v>-96</v>
      </c>
      <c r="I28" s="12">
        <v>3.1</v>
      </c>
      <c r="L28" s="1">
        <v>45541</v>
      </c>
      <c r="M28">
        <v>10</v>
      </c>
      <c r="N28">
        <v>20</v>
      </c>
      <c r="O28">
        <v>15</v>
      </c>
      <c r="P28">
        <v>0.7</v>
      </c>
      <c r="R28">
        <v>0.08</v>
      </c>
    </row>
    <row r="29" spans="1:18" x14ac:dyDescent="0.2">
      <c r="A29">
        <v>193615</v>
      </c>
      <c r="B29" t="s">
        <v>66</v>
      </c>
      <c r="C29" t="s">
        <v>46</v>
      </c>
      <c r="D29">
        <v>3</v>
      </c>
      <c r="E29" t="s">
        <v>67</v>
      </c>
      <c r="F29" s="9">
        <v>0.82450000000000001</v>
      </c>
      <c r="G29" s="9">
        <v>2.8E-3</v>
      </c>
      <c r="H29" s="12">
        <v>-182.8</v>
      </c>
      <c r="I29" s="12">
        <v>2.8</v>
      </c>
      <c r="L29" s="1">
        <v>45541</v>
      </c>
      <c r="M29">
        <v>20</v>
      </c>
      <c r="N29">
        <v>50</v>
      </c>
      <c r="O29">
        <v>35</v>
      </c>
      <c r="P29">
        <v>0.55000000000000004</v>
      </c>
      <c r="R29">
        <v>0.06</v>
      </c>
    </row>
    <row r="30" spans="1:18" x14ac:dyDescent="0.2">
      <c r="A30">
        <v>193736</v>
      </c>
      <c r="B30" t="s">
        <v>68</v>
      </c>
      <c r="C30" t="s">
        <v>46</v>
      </c>
      <c r="D30">
        <v>3</v>
      </c>
      <c r="E30" t="s">
        <v>69</v>
      </c>
      <c r="F30" s="9">
        <v>0.72389999999999999</v>
      </c>
      <c r="G30" s="9">
        <v>4.4000000000000003E-3</v>
      </c>
      <c r="H30" s="12">
        <v>-282.60000000000002</v>
      </c>
      <c r="I30" s="12">
        <v>4.4000000000000004</v>
      </c>
      <c r="L30" s="1">
        <v>45553</v>
      </c>
      <c r="M30">
        <v>50</v>
      </c>
      <c r="N30">
        <v>75</v>
      </c>
      <c r="O30">
        <v>62.5</v>
      </c>
      <c r="P30">
        <v>0.54</v>
      </c>
      <c r="R30">
        <v>7.0000000000000007E-2</v>
      </c>
    </row>
    <row r="31" spans="1:18" ht="17" thickBot="1" x14ac:dyDescent="0.25">
      <c r="A31" s="6">
        <v>193801</v>
      </c>
      <c r="B31" s="6" t="s">
        <v>82</v>
      </c>
      <c r="C31" s="6" t="s">
        <v>46</v>
      </c>
      <c r="D31" s="6">
        <v>3</v>
      </c>
      <c r="E31" s="6" t="s">
        <v>83</v>
      </c>
      <c r="F31" s="11">
        <v>0.86478999656723843</v>
      </c>
      <c r="G31" s="11">
        <v>2.301009625862297E-3</v>
      </c>
      <c r="H31" s="14">
        <v>-142.91641412127277</v>
      </c>
      <c r="I31" s="14">
        <v>2.3010096258622972</v>
      </c>
      <c r="J31" s="14"/>
      <c r="K31" s="14"/>
      <c r="L31" s="7">
        <v>45602</v>
      </c>
      <c r="M31" s="6">
        <v>75</v>
      </c>
      <c r="N31" s="6">
        <v>100</v>
      </c>
      <c r="O31" s="6">
        <v>87.5</v>
      </c>
      <c r="P31" s="6">
        <v>0.65</v>
      </c>
      <c r="Q31" s="6"/>
      <c r="R31" s="6">
        <v>7.0000000000000007E-2</v>
      </c>
    </row>
    <row r="32" spans="1:18" x14ac:dyDescent="0.2">
      <c r="A32">
        <v>193616</v>
      </c>
      <c r="B32" t="s">
        <v>70</v>
      </c>
      <c r="C32" t="s">
        <v>71</v>
      </c>
      <c r="D32">
        <v>1</v>
      </c>
      <c r="E32" t="s">
        <v>72</v>
      </c>
      <c r="F32" s="9">
        <v>0.91310000000000002</v>
      </c>
      <c r="G32" s="9">
        <v>3.0999999999999999E-3</v>
      </c>
      <c r="H32" s="12">
        <v>-95.1</v>
      </c>
      <c r="I32" s="12">
        <v>3.1</v>
      </c>
      <c r="J32" s="12">
        <f>AVERAGE((H32,H37,H42))</f>
        <v>-109.59693060333443</v>
      </c>
      <c r="K32" s="12">
        <f>STDEV(H32,H37,H42)</f>
        <v>12.818213812005977</v>
      </c>
      <c r="L32" s="1">
        <v>45541</v>
      </c>
      <c r="M32">
        <v>0</v>
      </c>
      <c r="N32">
        <v>10</v>
      </c>
      <c r="O32">
        <v>5</v>
      </c>
      <c r="P32">
        <v>0.94</v>
      </c>
      <c r="Q32" s="4">
        <f>AVERAGE(P32,P37,P42)</f>
        <v>0.94666666666666666</v>
      </c>
      <c r="R32">
        <v>0.11</v>
      </c>
    </row>
    <row r="33" spans="1:18" x14ac:dyDescent="0.2">
      <c r="A33">
        <v>193617</v>
      </c>
      <c r="B33" t="s">
        <v>73</v>
      </c>
      <c r="C33" t="s">
        <v>71</v>
      </c>
      <c r="D33">
        <v>1</v>
      </c>
      <c r="E33" t="s">
        <v>74</v>
      </c>
      <c r="F33" s="9">
        <v>0.8992</v>
      </c>
      <c r="G33" s="9">
        <v>3.0999999999999999E-3</v>
      </c>
      <c r="H33" s="12">
        <v>-108.8</v>
      </c>
      <c r="I33" s="12">
        <v>3.1</v>
      </c>
      <c r="J33" s="12">
        <f>AVERAGE((H33,H38,H43))</f>
        <v>-107.29817856277468</v>
      </c>
      <c r="K33" s="12">
        <f>STDEV(H33,H38,H43)</f>
        <v>4.4136810324913025</v>
      </c>
      <c r="L33" s="1">
        <v>45541</v>
      </c>
      <c r="M33">
        <v>10</v>
      </c>
      <c r="N33">
        <v>20</v>
      </c>
      <c r="O33">
        <v>15</v>
      </c>
      <c r="P33">
        <v>0.76</v>
      </c>
      <c r="Q33" s="4">
        <f t="shared" ref="Q33:Q36" si="3">AVERAGE(P33,P38,P43)</f>
        <v>0.76000000000000012</v>
      </c>
      <c r="R33">
        <v>0.09</v>
      </c>
    </row>
    <row r="34" spans="1:18" x14ac:dyDescent="0.2">
      <c r="A34">
        <v>193618</v>
      </c>
      <c r="B34" t="s">
        <v>75</v>
      </c>
      <c r="C34" t="s">
        <v>71</v>
      </c>
      <c r="D34">
        <v>1</v>
      </c>
      <c r="E34" t="s">
        <v>76</v>
      </c>
      <c r="F34" s="9">
        <v>0.80779999999999996</v>
      </c>
      <c r="G34" s="9">
        <v>2.5999999999999999E-3</v>
      </c>
      <c r="H34" s="12">
        <v>-199.4</v>
      </c>
      <c r="I34" s="12">
        <v>2.6</v>
      </c>
      <c r="J34" s="12">
        <f>AVERAGE((H34,H39,H44))</f>
        <v>-188.53006856550141</v>
      </c>
      <c r="K34" s="12">
        <f>STDEV(H34,H39,H44)</f>
        <v>72.363554980691305</v>
      </c>
      <c r="L34" s="1">
        <v>45541</v>
      </c>
      <c r="M34">
        <v>20</v>
      </c>
      <c r="N34">
        <v>50</v>
      </c>
      <c r="O34">
        <v>35</v>
      </c>
      <c r="P34">
        <v>0.59</v>
      </c>
      <c r="Q34" s="4">
        <f t="shared" si="3"/>
        <v>0.57666666666666666</v>
      </c>
      <c r="R34">
        <v>0.06</v>
      </c>
    </row>
    <row r="35" spans="1:18" x14ac:dyDescent="0.2">
      <c r="A35">
        <v>193802</v>
      </c>
      <c r="B35" t="s">
        <v>84</v>
      </c>
      <c r="C35" t="s">
        <v>71</v>
      </c>
      <c r="D35">
        <v>1</v>
      </c>
      <c r="E35" t="s">
        <v>85</v>
      </c>
      <c r="F35" s="9">
        <v>0.61240965768315425</v>
      </c>
      <c r="G35" s="9">
        <v>2.0145645551763566E-3</v>
      </c>
      <c r="H35" s="12">
        <v>-393.04771387578006</v>
      </c>
      <c r="I35" s="12">
        <v>2.0145645551763565</v>
      </c>
      <c r="J35" s="12">
        <f>AVERAGE((H35,H40,H45))</f>
        <v>-343.21090468426218</v>
      </c>
      <c r="K35" s="12">
        <f>STDEV(H35,H40,H45)</f>
        <v>72.361510240384234</v>
      </c>
      <c r="L35" s="15">
        <v>45602</v>
      </c>
      <c r="M35">
        <v>50</v>
      </c>
      <c r="N35">
        <v>75</v>
      </c>
      <c r="O35">
        <v>62.5</v>
      </c>
      <c r="P35">
        <v>0.44</v>
      </c>
      <c r="Q35" s="4">
        <f t="shared" si="3"/>
        <v>0.42333333333333334</v>
      </c>
      <c r="R35">
        <v>0.06</v>
      </c>
    </row>
    <row r="36" spans="1:18" x14ac:dyDescent="0.2">
      <c r="A36" s="2">
        <v>193803</v>
      </c>
      <c r="B36" s="2" t="s">
        <v>86</v>
      </c>
      <c r="C36" s="2" t="s">
        <v>71</v>
      </c>
      <c r="D36" s="2">
        <v>1</v>
      </c>
      <c r="E36" s="2" t="s">
        <v>87</v>
      </c>
      <c r="F36" s="10">
        <v>0.55746815418071172</v>
      </c>
      <c r="G36" s="10">
        <v>2.0966251437287984E-3</v>
      </c>
      <c r="H36" s="13">
        <v>-447.49961667572279</v>
      </c>
      <c r="I36" s="13">
        <v>2.0966251437287982</v>
      </c>
      <c r="J36" s="13">
        <f>AVERAGE((H36,H41,H46))</f>
        <v>-382.66318644627063</v>
      </c>
      <c r="K36" s="13">
        <f>STDEV(H36,H41,H46)</f>
        <v>59.365620002689667</v>
      </c>
      <c r="L36" s="16">
        <v>45602</v>
      </c>
      <c r="M36" s="2">
        <v>75</v>
      </c>
      <c r="N36" s="2">
        <v>100</v>
      </c>
      <c r="O36" s="2">
        <v>87.5</v>
      </c>
      <c r="P36" s="2">
        <v>0.37</v>
      </c>
      <c r="Q36" s="4">
        <f t="shared" si="3"/>
        <v>0.34999999999999992</v>
      </c>
      <c r="R36" s="2">
        <v>0.05</v>
      </c>
    </row>
    <row r="37" spans="1:18" x14ac:dyDescent="0.2">
      <c r="A37">
        <v>193804</v>
      </c>
      <c r="B37" t="s">
        <v>88</v>
      </c>
      <c r="C37" t="s">
        <v>71</v>
      </c>
      <c r="D37">
        <v>2</v>
      </c>
      <c r="E37" t="s">
        <v>89</v>
      </c>
      <c r="F37" s="9">
        <v>0.8937043823465417</v>
      </c>
      <c r="G37" s="9">
        <v>2.3845385932730408E-3</v>
      </c>
      <c r="H37" s="12">
        <v>-114.25969336180763</v>
      </c>
      <c r="I37" s="12">
        <v>2.384538593273041</v>
      </c>
      <c r="L37" s="15">
        <v>45602</v>
      </c>
      <c r="M37">
        <v>0</v>
      </c>
      <c r="N37">
        <v>10</v>
      </c>
      <c r="O37">
        <v>5</v>
      </c>
      <c r="P37">
        <v>0.99</v>
      </c>
      <c r="R37">
        <v>0.11</v>
      </c>
    </row>
    <row r="38" spans="1:18" x14ac:dyDescent="0.2">
      <c r="A38">
        <v>193805</v>
      </c>
      <c r="B38" t="s">
        <v>90</v>
      </c>
      <c r="C38" t="s">
        <v>71</v>
      </c>
      <c r="D38">
        <v>2</v>
      </c>
      <c r="E38" t="s">
        <v>91</v>
      </c>
      <c r="F38" s="9">
        <v>0.89723053210415571</v>
      </c>
      <c r="G38" s="9">
        <v>2.3651022265203832E-3</v>
      </c>
      <c r="H38" s="12">
        <v>-110.7649662134852</v>
      </c>
      <c r="I38" s="12">
        <v>2.3651022265203832</v>
      </c>
      <c r="L38" s="15">
        <v>45602</v>
      </c>
      <c r="M38">
        <v>10</v>
      </c>
      <c r="N38">
        <v>20</v>
      </c>
      <c r="O38">
        <v>15</v>
      </c>
      <c r="P38">
        <v>0.81</v>
      </c>
      <c r="R38">
        <v>0.09</v>
      </c>
    </row>
    <row r="39" spans="1:18" x14ac:dyDescent="0.2">
      <c r="A39">
        <v>193806</v>
      </c>
      <c r="B39" t="s">
        <v>92</v>
      </c>
      <c r="C39" t="s">
        <v>71</v>
      </c>
      <c r="D39">
        <v>2</v>
      </c>
      <c r="E39" t="s">
        <v>93</v>
      </c>
      <c r="F39" s="9">
        <v>0.751856279286086</v>
      </c>
      <c r="G39" s="9">
        <v>2.0859194098365179E-3</v>
      </c>
      <c r="H39" s="12">
        <v>-254.84374417615817</v>
      </c>
      <c r="I39" s="12">
        <v>2.0859194098365177</v>
      </c>
      <c r="L39" s="15">
        <v>45602</v>
      </c>
      <c r="M39">
        <v>20</v>
      </c>
      <c r="N39">
        <v>50</v>
      </c>
      <c r="O39">
        <v>35</v>
      </c>
      <c r="P39">
        <v>0.51</v>
      </c>
      <c r="R39">
        <v>0.06</v>
      </c>
    </row>
    <row r="40" spans="1:18" x14ac:dyDescent="0.2">
      <c r="A40">
        <v>193807</v>
      </c>
      <c r="B40" t="s">
        <v>94</v>
      </c>
      <c r="C40" t="s">
        <v>71</v>
      </c>
      <c r="D40">
        <v>2</v>
      </c>
      <c r="E40" t="s">
        <v>95</v>
      </c>
      <c r="F40" s="9">
        <v>0.62923375365366085</v>
      </c>
      <c r="G40" s="9">
        <v>2.0888325938991253E-3</v>
      </c>
      <c r="H40" s="12">
        <v>-376.37354261939629</v>
      </c>
      <c r="I40" s="12">
        <v>2.0888325938991255</v>
      </c>
      <c r="L40" s="15">
        <v>45602</v>
      </c>
      <c r="M40">
        <v>50</v>
      </c>
      <c r="N40">
        <v>75</v>
      </c>
      <c r="O40">
        <v>62.5</v>
      </c>
      <c r="P40">
        <v>0.38</v>
      </c>
      <c r="R40">
        <v>0.05</v>
      </c>
    </row>
    <row r="41" spans="1:18" x14ac:dyDescent="0.2">
      <c r="A41" s="2">
        <v>193808</v>
      </c>
      <c r="B41" s="2" t="s">
        <v>96</v>
      </c>
      <c r="C41" s="2" t="s">
        <v>71</v>
      </c>
      <c r="D41" s="2">
        <v>2</v>
      </c>
      <c r="E41" s="2" t="s">
        <v>97</v>
      </c>
      <c r="F41" s="10">
        <v>0.63615080156426862</v>
      </c>
      <c r="G41" s="10">
        <v>2.1264010771691903E-3</v>
      </c>
      <c r="H41" s="13">
        <v>-369.51813465855997</v>
      </c>
      <c r="I41" s="13">
        <v>2.1264010771691901</v>
      </c>
      <c r="J41" s="13"/>
      <c r="K41" s="13"/>
      <c r="L41" s="16">
        <v>45602</v>
      </c>
      <c r="M41" s="2">
        <v>75</v>
      </c>
      <c r="N41" s="2">
        <v>100</v>
      </c>
      <c r="O41" s="2">
        <v>87.5</v>
      </c>
      <c r="P41" s="2">
        <v>0.32</v>
      </c>
      <c r="Q41" s="2"/>
      <c r="R41" s="2">
        <v>0.05</v>
      </c>
    </row>
    <row r="42" spans="1:18" x14ac:dyDescent="0.2">
      <c r="A42">
        <v>193809</v>
      </c>
      <c r="B42" t="s">
        <v>98</v>
      </c>
      <c r="C42" t="s">
        <v>71</v>
      </c>
      <c r="D42">
        <v>3</v>
      </c>
      <c r="E42" t="s">
        <v>99</v>
      </c>
      <c r="F42" s="9">
        <v>0.88848647891146404</v>
      </c>
      <c r="G42" s="9">
        <v>2.4040549194537814E-3</v>
      </c>
      <c r="H42" s="12">
        <v>-119.43109844819566</v>
      </c>
      <c r="I42" s="12">
        <v>2.4040549194537815</v>
      </c>
      <c r="L42" s="15">
        <v>45602</v>
      </c>
      <c r="M42">
        <v>0</v>
      </c>
      <c r="N42">
        <v>10</v>
      </c>
      <c r="O42">
        <v>5</v>
      </c>
      <c r="P42">
        <v>0.91</v>
      </c>
      <c r="R42">
        <v>0.1</v>
      </c>
    </row>
    <row r="43" spans="1:18" x14ac:dyDescent="0.2">
      <c r="A43">
        <v>193810</v>
      </c>
      <c r="B43" t="s">
        <v>100</v>
      </c>
      <c r="C43" t="s">
        <v>71</v>
      </c>
      <c r="D43">
        <v>3</v>
      </c>
      <c r="E43" t="s">
        <v>101</v>
      </c>
      <c r="F43" s="9">
        <v>0.90574177515774679</v>
      </c>
      <c r="G43" s="9">
        <v>2.40896744385198E-3</v>
      </c>
      <c r="H43" s="12">
        <v>-102.32956947483885</v>
      </c>
      <c r="I43" s="12">
        <v>2.4089674438519801</v>
      </c>
      <c r="L43" s="15">
        <v>45602</v>
      </c>
      <c r="M43">
        <v>10</v>
      </c>
      <c r="N43">
        <v>20</v>
      </c>
      <c r="O43">
        <v>15</v>
      </c>
      <c r="P43">
        <v>0.71</v>
      </c>
      <c r="R43">
        <v>0.08</v>
      </c>
    </row>
    <row r="44" spans="1:18" x14ac:dyDescent="0.2">
      <c r="A44">
        <v>193811</v>
      </c>
      <c r="B44" t="s">
        <v>102</v>
      </c>
      <c r="C44" t="s">
        <v>71</v>
      </c>
      <c r="D44">
        <v>3</v>
      </c>
      <c r="E44" t="s">
        <v>103</v>
      </c>
      <c r="F44" s="9">
        <v>0.89664380832049062</v>
      </c>
      <c r="G44" s="9">
        <v>2.4203787804965068E-3</v>
      </c>
      <c r="H44" s="12">
        <v>-111.346461520346</v>
      </c>
      <c r="I44" s="12">
        <v>2.4203787804965069</v>
      </c>
      <c r="L44" s="15">
        <v>45602</v>
      </c>
      <c r="M44">
        <v>20</v>
      </c>
      <c r="N44">
        <v>50</v>
      </c>
      <c r="O44">
        <v>35</v>
      </c>
      <c r="P44">
        <v>0.63</v>
      </c>
      <c r="R44">
        <v>7.0000000000000007E-2</v>
      </c>
    </row>
    <row r="45" spans="1:18" x14ac:dyDescent="0.2">
      <c r="A45">
        <v>193812</v>
      </c>
      <c r="B45" t="s">
        <v>104</v>
      </c>
      <c r="C45" t="s">
        <v>71</v>
      </c>
      <c r="D45">
        <v>3</v>
      </c>
      <c r="E45" t="s">
        <v>105</v>
      </c>
      <c r="F45" s="9">
        <v>0.74644030246282123</v>
      </c>
      <c r="G45" s="9">
        <v>2.1227520156852078E-3</v>
      </c>
      <c r="H45" s="12">
        <v>-260.21145755761023</v>
      </c>
      <c r="I45" s="12">
        <v>2.122752015685208</v>
      </c>
      <c r="L45" s="15">
        <v>45602</v>
      </c>
      <c r="M45">
        <v>50</v>
      </c>
      <c r="N45">
        <v>75</v>
      </c>
      <c r="O45">
        <v>62.5</v>
      </c>
      <c r="P45">
        <v>0.45</v>
      </c>
      <c r="R45">
        <v>0.06</v>
      </c>
    </row>
    <row r="46" spans="1:18" x14ac:dyDescent="0.2">
      <c r="A46" s="2">
        <v>193813</v>
      </c>
      <c r="B46" s="2" t="s">
        <v>106</v>
      </c>
      <c r="C46" s="2" t="s">
        <v>71</v>
      </c>
      <c r="D46" s="2">
        <v>3</v>
      </c>
      <c r="E46" s="2" t="s">
        <v>107</v>
      </c>
      <c r="F46" s="10">
        <v>0.67504371497905857</v>
      </c>
      <c r="G46" s="10">
        <v>2.0273672124242396E-3</v>
      </c>
      <c r="H46" s="13">
        <v>-330.97180800452907</v>
      </c>
      <c r="I46" s="13">
        <v>2.0273672124242395</v>
      </c>
      <c r="J46" s="13"/>
      <c r="K46" s="13"/>
      <c r="L46" s="16">
        <v>45602</v>
      </c>
      <c r="M46" s="2">
        <v>75</v>
      </c>
      <c r="N46" s="2">
        <v>100</v>
      </c>
      <c r="O46" s="2">
        <v>87.5</v>
      </c>
      <c r="P46" s="2">
        <v>0.36</v>
      </c>
      <c r="Q46" s="2"/>
      <c r="R46" s="2">
        <v>0.05</v>
      </c>
    </row>
  </sheetData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3EDCEFB86248419089A503647A8BA4" ma:contentTypeVersion="4" ma:contentTypeDescription="Create a new document." ma:contentTypeScope="" ma:versionID="4f525ffa2ffd4ad5d77382cc0b2d4721">
  <xsd:schema xmlns:xsd="http://www.w3.org/2001/XMLSchema" xmlns:xs="http://www.w3.org/2001/XMLSchema" xmlns:p="http://schemas.microsoft.com/office/2006/metadata/properties" xmlns:ns2="ec3d5568-e1f4-4497-bc9f-65552693db71" targetNamespace="http://schemas.microsoft.com/office/2006/metadata/properties" ma:root="true" ma:fieldsID="3b74d47f0278bb0410329d408b9dd60e" ns2:_="">
    <xsd:import namespace="ec3d5568-e1f4-4497-bc9f-65552693db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d5568-e1f4-4497-bc9f-65552693d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FFB5DA-C876-4EF1-80FA-E94CD14E29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3d5568-e1f4-4497-bc9f-65552693db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568AED-FA16-494D-90D1-CD26C92E8E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058826-C8EB-4307-BD2C-D9FACD8E42E2}">
  <ds:schemaRefs>
    <ds:schemaRef ds:uri="http://purl.org/dc/elements/1.1/"/>
    <ds:schemaRef ds:uri="http://purl.org/dc/terms/"/>
    <ds:schemaRef ds:uri="http://schemas.microsoft.com/office/2006/metadata/properties"/>
    <ds:schemaRef ds:uri="http://purl.org/dc/dcmitype/"/>
    <ds:schemaRef ds:uri="http://www.w3.org/XML/1998/namespace"/>
    <ds:schemaRef ds:uri="http://schemas.openxmlformats.org/package/2006/metadata/core-properties"/>
    <ds:schemaRef ds:uri="ec3d5568-e1f4-4497-bc9f-65552693db71"/>
    <ds:schemaRef ds:uri="http://schemas.microsoft.com/office/2006/documentManagement/typ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HRDY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Aidee Guzman</cp:lastModifiedBy>
  <cp:revision/>
  <dcterms:created xsi:type="dcterms:W3CDTF">2024-10-02T21:19:13Z</dcterms:created>
  <dcterms:modified xsi:type="dcterms:W3CDTF">2024-12-05T20:59:22Z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0x010100B63EDCEFB86248419089A503647A8BA4</vt:lpwstr>
  </property>
</Properties>
</file>