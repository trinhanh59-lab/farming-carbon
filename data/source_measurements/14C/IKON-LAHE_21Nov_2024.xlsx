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finstad1/Documents/Farming Carbon/Aidee's samples/"/>
    </mc:Choice>
  </mc:AlternateContent>
  <xr:revisionPtr revIDLastSave="0" documentId="13_ncr:1_{825FCEC4-B780-114C-AC20-AC364CBA0235}" xr6:coauthVersionLast="47" xr6:coauthVersionMax="47" xr10:uidLastSave="{00000000-0000-0000-0000-000000000000}"/>
  <bookViews>
    <workbookView xWindow="38900" yWindow="680" windowWidth="49820" windowHeight="28300" xr2:uid="{B4ADA468-0C92-8F44-8373-567441323FA0}"/>
  </bookViews>
  <sheets>
    <sheet name="IKON-LAH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2" i="1"/>
  <c r="Q25" i="1"/>
  <c r="Q20" i="1"/>
  <c r="Q21" i="1"/>
  <c r="Q22" i="1"/>
  <c r="Q23" i="1"/>
  <c r="Q24" i="1"/>
  <c r="Q7" i="1"/>
  <c r="Q3" i="1"/>
  <c r="Q4" i="1"/>
  <c r="Q5" i="1"/>
  <c r="Q6" i="1"/>
  <c r="Q2" i="1"/>
  <c r="O20" i="1"/>
  <c r="O25" i="1"/>
  <c r="O24" i="1"/>
  <c r="O23" i="1"/>
  <c r="O22" i="1"/>
  <c r="O21" i="1"/>
  <c r="O7" i="1"/>
  <c r="O3" i="1"/>
  <c r="O4" i="1"/>
  <c r="O5" i="1"/>
  <c r="O6" i="1"/>
  <c r="O2" i="1"/>
  <c r="N25" i="1"/>
  <c r="N24" i="1"/>
  <c r="N23" i="1"/>
  <c r="N22" i="1"/>
  <c r="N21" i="1"/>
  <c r="N20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<sst xmlns="http://schemas.openxmlformats.org/spreadsheetml/2006/main" count="127" uniqueCount="93">
  <si>
    <t>SampleName</t>
  </si>
  <si>
    <t>Site</t>
  </si>
  <si>
    <t>Plot</t>
  </si>
  <si>
    <t>Nnumber</t>
  </si>
  <si>
    <t>fractionModern</t>
  </si>
  <si>
    <t>FractionModern_err</t>
  </si>
  <si>
    <t>Del14C</t>
  </si>
  <si>
    <t>Del14C_err</t>
  </si>
  <si>
    <t>Depth_top</t>
  </si>
  <si>
    <t>Depth_bottom</t>
  </si>
  <si>
    <t>Depth_mid</t>
  </si>
  <si>
    <t>Avg_14C</t>
  </si>
  <si>
    <t>C_percent</t>
  </si>
  <si>
    <t>N_percent</t>
  </si>
  <si>
    <t>1_IKON_1_A1_DT</t>
  </si>
  <si>
    <t>IKON</t>
  </si>
  <si>
    <t>N135214</t>
  </si>
  <si>
    <t>2_IKON_1_A2_DT</t>
  </si>
  <si>
    <t>N135215</t>
  </si>
  <si>
    <t>3_IKON_1_A3_DT</t>
  </si>
  <si>
    <t>N135216</t>
  </si>
  <si>
    <t>4_IKON_1_A4_DT</t>
  </si>
  <si>
    <t>N135217</t>
  </si>
  <si>
    <t>5_IKON_1_A5_DT</t>
  </si>
  <si>
    <t>N135218</t>
  </si>
  <si>
    <t>6_IKON_1_A6_DT</t>
  </si>
  <si>
    <t>N135219</t>
  </si>
  <si>
    <t>13_IKON_3_A1_DT</t>
  </si>
  <si>
    <t>N135220</t>
  </si>
  <si>
    <t>14_IKON_3_A2_DT</t>
  </si>
  <si>
    <t>N135221</t>
  </si>
  <si>
    <t>15_IKON_3_A3_DT</t>
  </si>
  <si>
    <t>N135222</t>
  </si>
  <si>
    <t>16_IKON_3_A4_DT</t>
  </si>
  <si>
    <t>N135223</t>
  </si>
  <si>
    <t>17_IKON_3_A5_DT</t>
  </si>
  <si>
    <t>N135224</t>
  </si>
  <si>
    <t>18_IKON_3_A6_DT</t>
  </si>
  <si>
    <t>N135225</t>
  </si>
  <si>
    <t>25_IKON_5_A1_DT</t>
  </si>
  <si>
    <t>N135226</t>
  </si>
  <si>
    <t>26_IKON_5_A2_DT</t>
  </si>
  <si>
    <t>N135227</t>
  </si>
  <si>
    <t>27_IKON_5_A3_DT</t>
  </si>
  <si>
    <t>N135228</t>
  </si>
  <si>
    <t>28_IKON_5_A4_DT</t>
  </si>
  <si>
    <t>N135229</t>
  </si>
  <si>
    <t>29_IKON_5_A5_DT</t>
  </si>
  <si>
    <t>N135230</t>
  </si>
  <si>
    <t>30_IKON_5_A6_DT</t>
  </si>
  <si>
    <t>N135231</t>
  </si>
  <si>
    <t>37_LAHE_1_A1_DT</t>
  </si>
  <si>
    <t>LAHE</t>
  </si>
  <si>
    <t>N135233</t>
  </si>
  <si>
    <t>38_LAHE_1_A2_DT</t>
  </si>
  <si>
    <t>N135234</t>
  </si>
  <si>
    <t>39_LAHE_1_A3_DT</t>
  </si>
  <si>
    <t>N135235</t>
  </si>
  <si>
    <t>40_LAHE_1_A4_DT</t>
  </si>
  <si>
    <t>N135236</t>
  </si>
  <si>
    <t>41_LAHE_1_A5_DT</t>
  </si>
  <si>
    <t>N135237</t>
  </si>
  <si>
    <t>42_LAHE_1_A6_DT</t>
  </si>
  <si>
    <t>N135238</t>
  </si>
  <si>
    <t>49_LAHE_3_A1_DT</t>
  </si>
  <si>
    <t>N135239</t>
  </si>
  <si>
    <t>50_LAHE_3_A2_DT</t>
  </si>
  <si>
    <t>N135240</t>
  </si>
  <si>
    <t>51_LAHE_3_A3_DT</t>
  </si>
  <si>
    <t>N135241</t>
  </si>
  <si>
    <t>52_LAHE_3_A4_DT</t>
  </si>
  <si>
    <t>N135242</t>
  </si>
  <si>
    <t>53_LAHE_3_A5_DT</t>
  </si>
  <si>
    <t>N135243</t>
  </si>
  <si>
    <t>54_LAHE_3_A6_DT</t>
  </si>
  <si>
    <t>N135244</t>
  </si>
  <si>
    <t>61_LAHE_5_A1_DT</t>
  </si>
  <si>
    <t>N135245</t>
  </si>
  <si>
    <t>62_LAHE_5_A2_DT</t>
  </si>
  <si>
    <t>N135246</t>
  </si>
  <si>
    <t>63_LAHE_5_A3_DT</t>
  </si>
  <si>
    <t>N135247</t>
  </si>
  <si>
    <t>64_LAHE_5_A4_DT</t>
  </si>
  <si>
    <t>N135248</t>
  </si>
  <si>
    <t>65_LAHE_5_A5_DT</t>
  </si>
  <si>
    <t>N135249</t>
  </si>
  <si>
    <t>66_LAHE_5_A6_DT</t>
  </si>
  <si>
    <t>N135250</t>
  </si>
  <si>
    <t>CAMS#</t>
  </si>
  <si>
    <t>Date_run</t>
  </si>
  <si>
    <t>Avg_Cpercent</t>
  </si>
  <si>
    <t>CN_ratio</t>
  </si>
  <si>
    <t>SD_14Cavg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</si>
</sst>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2" fontId="0" fillId="0" borderId="0" xfId="0" applyNumberFormat="1"/>
    <xf numFmtId="2" fontId="0" fillId="0" borderId="11" xfId="0" applyNumberFormat="1" applyBorder="1"/>
    <xf numFmtId="164" fontId="0" fillId="0" borderId="0" xfId="0" applyNumberFormat="1"/>
    <xf numFmtId="164" fontId="0" fillId="0" borderId="11" xfId="0" applyNumberFormat="1" applyBorder="1"/>
    <xf numFmtId="164" fontId="0" fillId="0" borderId="10" xfId="0" applyNumberFormat="1" applyBorder="1"/>
    <xf numFmtId="165" fontId="0" fillId="0" borderId="0" xfId="0" applyNumberFormat="1"/>
    <xf numFmtId="165" fontId="0" fillId="0" borderId="11" xfId="0" applyNumberFormat="1" applyBorder="1"/>
    <xf numFmtId="165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9124217554032"/>
          <c:y val="3.4386528570489065E-2"/>
          <c:w val="0.85993471140726874"/>
          <c:h val="0.82513984673444596"/>
        </c:manualLayout>
      </c:layout>
      <c:scatterChart>
        <c:scatterStyle val="smoothMarker"/>
        <c:varyColors val="0"/>
        <c:ser>
          <c:idx val="0"/>
          <c:order val="0"/>
          <c:tx>
            <c:v>Monoculture (n=3)</c:v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'IKON-LAHE'!$N$2:$N$7</c:f>
              <c:numCache>
                <c:formatCode>0.0</c:formatCode>
                <c:ptCount val="6"/>
                <c:pt idx="0">
                  <c:v>-42.766666666666673</c:v>
                </c:pt>
                <c:pt idx="1">
                  <c:v>-32.133333333333333</c:v>
                </c:pt>
                <c:pt idx="2">
                  <c:v>-34.233333333333334</c:v>
                </c:pt>
                <c:pt idx="3">
                  <c:v>-52.666666666666664</c:v>
                </c:pt>
                <c:pt idx="4">
                  <c:v>-110.76666666666667</c:v>
                </c:pt>
                <c:pt idx="5">
                  <c:v>-193.13333333333335</c:v>
                </c:pt>
              </c:numCache>
            </c:numRef>
          </c:xVal>
          <c:yVal>
            <c:numRef>
              <c:f>'IKON-LAHE'!$M$2:$M$7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DC-B944-BE56-1284D353D40D}"/>
            </c:ext>
          </c:extLst>
        </c:ser>
        <c:ser>
          <c:idx val="1"/>
          <c:order val="1"/>
          <c:tx>
            <c:v>Polyculture (n=3)</c:v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'IKON-LAHE'!$N$20:$N$25</c:f>
              <c:numCache>
                <c:formatCode>0.0</c:formatCode>
                <c:ptCount val="6"/>
                <c:pt idx="0">
                  <c:v>-20.7</c:v>
                </c:pt>
                <c:pt idx="1">
                  <c:v>-17.7</c:v>
                </c:pt>
                <c:pt idx="2">
                  <c:v>-17.566666666666666</c:v>
                </c:pt>
                <c:pt idx="3">
                  <c:v>-25.833333333333332</c:v>
                </c:pt>
                <c:pt idx="4">
                  <c:v>-60.133333333333333</c:v>
                </c:pt>
                <c:pt idx="5">
                  <c:v>-137.96666666666667</c:v>
                </c:pt>
              </c:numCache>
            </c:numRef>
          </c:xVal>
          <c:yVal>
            <c:numRef>
              <c:f>'IKON-LAHE'!$M$20:$M$25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DC-B944-BE56-1284D353D40D}"/>
            </c:ext>
          </c:extLst>
        </c:ser>
        <c:ser>
          <c:idx val="6"/>
          <c:order val="2"/>
          <c:tx>
            <c:v>Monoculture (n=3)</c:v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'IKON-LAHE'!$N$2:$N$7</c:f>
              <c:numCache>
                <c:formatCode>0.0</c:formatCode>
                <c:ptCount val="6"/>
                <c:pt idx="0">
                  <c:v>-42.766666666666673</c:v>
                </c:pt>
                <c:pt idx="1">
                  <c:v>-32.133333333333333</c:v>
                </c:pt>
                <c:pt idx="2">
                  <c:v>-34.233333333333334</c:v>
                </c:pt>
                <c:pt idx="3">
                  <c:v>-52.666666666666664</c:v>
                </c:pt>
                <c:pt idx="4">
                  <c:v>-110.76666666666667</c:v>
                </c:pt>
                <c:pt idx="5">
                  <c:v>-193.13333333333335</c:v>
                </c:pt>
              </c:numCache>
            </c:numRef>
          </c:xVal>
          <c:yVal>
            <c:numRef>
              <c:f>'IKON-LAHE'!$M$2:$M$7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DC-B944-BE56-1284D353D40D}"/>
            </c:ext>
          </c:extLst>
        </c:ser>
        <c:ser>
          <c:idx val="7"/>
          <c:order val="3"/>
          <c:tx>
            <c:v>Polyculture (n=3)</c:v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'IKON-LAHE'!$N$20:$N$25</c:f>
              <c:numCache>
                <c:formatCode>0.0</c:formatCode>
                <c:ptCount val="6"/>
                <c:pt idx="0">
                  <c:v>-20.7</c:v>
                </c:pt>
                <c:pt idx="1">
                  <c:v>-17.7</c:v>
                </c:pt>
                <c:pt idx="2">
                  <c:v>-17.566666666666666</c:v>
                </c:pt>
                <c:pt idx="3">
                  <c:v>-25.833333333333332</c:v>
                </c:pt>
                <c:pt idx="4">
                  <c:v>-60.133333333333333</c:v>
                </c:pt>
                <c:pt idx="5">
                  <c:v>-137.96666666666667</c:v>
                </c:pt>
              </c:numCache>
            </c:numRef>
          </c:xVal>
          <c:yVal>
            <c:numRef>
              <c:f>'IKON-LAHE'!$M$20:$M$25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DC-B944-BE56-1284D353D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2400"/>
                  <a:t>Δ</a:t>
                </a:r>
                <a:r>
                  <a:rPr lang="en-US" sz="2400"/>
                  <a:t>14C (‰)</a:t>
                </a:r>
              </a:p>
            </c:rich>
          </c:tx>
          <c:layout>
            <c:manualLayout>
              <c:xMode val="edge"/>
              <c:yMode val="edge"/>
              <c:x val="0.48622774037993893"/>
              <c:y val="0.9443227537912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300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12702551717137736"/>
          <c:y val="3.7586783502011667E-2"/>
          <c:w val="0.33993999735874758"/>
          <c:h val="0.10674930777291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04773654829081"/>
          <c:y val="2.96940968816575E-2"/>
          <c:w val="0.82720534073304519"/>
          <c:h val="0.83562494302710022"/>
        </c:manualLayout>
      </c:layout>
      <c:scatterChart>
        <c:scatterStyle val="smoothMarker"/>
        <c:varyColors val="0"/>
        <c:ser>
          <c:idx val="1"/>
          <c:order val="0"/>
          <c:tx>
            <c:v>Monoculture (n=3)</c:v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'IKON-LAHE'!$Q$2:$Q$7</c:f>
              <c:numCache>
                <c:formatCode>0.00</c:formatCode>
                <c:ptCount val="6"/>
                <c:pt idx="0">
                  <c:v>0.33333333333333331</c:v>
                </c:pt>
                <c:pt idx="1">
                  <c:v>0.3133333333333333</c:v>
                </c:pt>
                <c:pt idx="2">
                  <c:v>0.37666666666666665</c:v>
                </c:pt>
                <c:pt idx="3">
                  <c:v>0.32666666666666666</c:v>
                </c:pt>
                <c:pt idx="4">
                  <c:v>0.12333333333333334</c:v>
                </c:pt>
                <c:pt idx="5">
                  <c:v>0.12</c:v>
                </c:pt>
              </c:numCache>
            </c:numRef>
          </c:xVal>
          <c:yVal>
            <c:numRef>
              <c:f>'IKON-LAHE'!$M$8:$M$13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44-9740-BBFC-B657D52C842C}"/>
            </c:ext>
          </c:extLst>
        </c:ser>
        <c:ser>
          <c:idx val="5"/>
          <c:order val="1"/>
          <c:tx>
            <c:v>Polyculture (n=3)</c:v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'IKON-LAHE'!$Q$20:$Q$25</c:f>
              <c:numCache>
                <c:formatCode>0.00</c:formatCode>
                <c:ptCount val="6"/>
                <c:pt idx="0">
                  <c:v>0.56000000000000005</c:v>
                </c:pt>
                <c:pt idx="1">
                  <c:v>0.51333333333333331</c:v>
                </c:pt>
                <c:pt idx="2">
                  <c:v>0.39666666666666667</c:v>
                </c:pt>
                <c:pt idx="3">
                  <c:v>0.28333333333333338</c:v>
                </c:pt>
                <c:pt idx="4">
                  <c:v>0.22666666666666668</c:v>
                </c:pt>
                <c:pt idx="5">
                  <c:v>0.19000000000000003</c:v>
                </c:pt>
              </c:numCache>
            </c:numRef>
          </c:xVal>
          <c:yVal>
            <c:numRef>
              <c:f>'IKON-LAHE'!$M$32:$M$37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44-9740-BBFC-B657D52C8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Carbon</a:t>
                </a:r>
                <a:r>
                  <a:rPr lang="en-US" sz="2400" baseline="0"/>
                  <a:t> (%)</a:t>
                </a:r>
                <a:endParaRPr lang="en-US" sz="2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30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749160123919136"/>
          <c:y val="4.35710887315875E-2"/>
          <c:w val="0.31848200756811879"/>
          <c:h val="0.11486831435664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9124217554032"/>
          <c:y val="3.4386528570489065E-2"/>
          <c:w val="0.85993471140726874"/>
          <c:h val="0.82513984673444596"/>
        </c:manualLayout>
      </c:layout>
      <c:scatterChart>
        <c:scatterStyle val="smoothMarker"/>
        <c:varyColors val="0"/>
        <c:ser>
          <c:idx val="6"/>
          <c:order val="0"/>
          <c:tx>
            <c:v>IKON1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'IKON-LAHE'!$H$2:$H$7</c:f>
              <c:numCache>
                <c:formatCode>0.0</c:formatCode>
                <c:ptCount val="6"/>
                <c:pt idx="0">
                  <c:v>-34</c:v>
                </c:pt>
                <c:pt idx="1">
                  <c:v>-33.799999999999997</c:v>
                </c:pt>
                <c:pt idx="2">
                  <c:v>-26</c:v>
                </c:pt>
                <c:pt idx="3">
                  <c:v>-23.4</c:v>
                </c:pt>
                <c:pt idx="4">
                  <c:v>-25.9</c:v>
                </c:pt>
                <c:pt idx="5">
                  <c:v>-122.8</c:v>
                </c:pt>
              </c:numCache>
            </c:numRef>
          </c:xVal>
          <c:yVal>
            <c:numRef>
              <c:f>'IKON-LAHE'!$M$2:$M$7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E9-D149-80EA-8C13793A1373}"/>
            </c:ext>
          </c:extLst>
        </c:ser>
        <c:ser>
          <c:idx val="0"/>
          <c:order val="1"/>
          <c:tx>
            <c:v>IKON3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'IKON-LAHE'!$H$8:$H$13</c:f>
              <c:numCache>
                <c:formatCode>0.0</c:formatCode>
                <c:ptCount val="6"/>
                <c:pt idx="0">
                  <c:v>-50.1</c:v>
                </c:pt>
                <c:pt idx="1">
                  <c:v>-31.6</c:v>
                </c:pt>
                <c:pt idx="2">
                  <c:v>-37.5</c:v>
                </c:pt>
                <c:pt idx="3">
                  <c:v>-87.3</c:v>
                </c:pt>
                <c:pt idx="4">
                  <c:v>-192.6</c:v>
                </c:pt>
                <c:pt idx="5">
                  <c:v>-256.60000000000002</c:v>
                </c:pt>
              </c:numCache>
            </c:numRef>
          </c:xVal>
          <c:yVal>
            <c:numRef>
              <c:f>'IKON-LAHE'!$M$8:$M$13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E9-D149-80EA-8C13793A1373}"/>
            </c:ext>
          </c:extLst>
        </c:ser>
        <c:ser>
          <c:idx val="1"/>
          <c:order val="2"/>
          <c:tx>
            <c:v>IKON5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'IKON-LAHE'!$H$14:$H$19</c:f>
              <c:numCache>
                <c:formatCode>0.0</c:formatCode>
                <c:ptCount val="6"/>
                <c:pt idx="0">
                  <c:v>-44.2</c:v>
                </c:pt>
                <c:pt idx="1">
                  <c:v>-31</c:v>
                </c:pt>
                <c:pt idx="2">
                  <c:v>-39.200000000000003</c:v>
                </c:pt>
                <c:pt idx="3">
                  <c:v>-47.3</c:v>
                </c:pt>
                <c:pt idx="4">
                  <c:v>-113.8</c:v>
                </c:pt>
                <c:pt idx="5">
                  <c:v>-200</c:v>
                </c:pt>
              </c:numCache>
            </c:numRef>
          </c:xVal>
          <c:yVal>
            <c:numRef>
              <c:f>'IKON-LAHE'!$M$14:$M$19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E9-D149-80EA-8C13793A1373}"/>
            </c:ext>
          </c:extLst>
        </c:ser>
        <c:ser>
          <c:idx val="7"/>
          <c:order val="3"/>
          <c:tx>
            <c:v>LAHE1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'IKON-LAHE'!$H$20:$H$25</c:f>
              <c:numCache>
                <c:formatCode>0.0</c:formatCode>
                <c:ptCount val="6"/>
                <c:pt idx="0">
                  <c:v>-20.399999999999999</c:v>
                </c:pt>
                <c:pt idx="1">
                  <c:v>-14.6</c:v>
                </c:pt>
                <c:pt idx="2">
                  <c:v>-18</c:v>
                </c:pt>
                <c:pt idx="3">
                  <c:v>-115.1</c:v>
                </c:pt>
                <c:pt idx="4">
                  <c:v>-181.4</c:v>
                </c:pt>
                <c:pt idx="5">
                  <c:v>-160.80000000000001</c:v>
                </c:pt>
              </c:numCache>
            </c:numRef>
          </c:xVal>
          <c:yVal>
            <c:numRef>
              <c:f>'IKON-LAHE'!$M$20:$M$25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E9-D149-80EA-8C13793A1373}"/>
            </c:ext>
          </c:extLst>
        </c:ser>
        <c:ser>
          <c:idx val="2"/>
          <c:order val="4"/>
          <c:tx>
            <c:v>LAHE3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'IKON-LAHE'!$H$26:$H$31</c:f>
              <c:numCache>
                <c:formatCode>0.0</c:formatCode>
                <c:ptCount val="6"/>
                <c:pt idx="0">
                  <c:v>-20.100000000000001</c:v>
                </c:pt>
                <c:pt idx="1">
                  <c:v>-19.899999999999999</c:v>
                </c:pt>
                <c:pt idx="2">
                  <c:v>-16</c:v>
                </c:pt>
                <c:pt idx="3">
                  <c:v>19.7</c:v>
                </c:pt>
                <c:pt idx="4">
                  <c:v>-21.8</c:v>
                </c:pt>
                <c:pt idx="5">
                  <c:v>-132.9</c:v>
                </c:pt>
              </c:numCache>
            </c:numRef>
          </c:xVal>
          <c:yVal>
            <c:numRef>
              <c:f>'IKON-LAHE'!$M$26:$M$31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E9-D149-80EA-8C13793A1373}"/>
            </c:ext>
          </c:extLst>
        </c:ser>
        <c:ser>
          <c:idx val="3"/>
          <c:order val="5"/>
          <c:tx>
            <c:v>LAHE5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'IKON-LAHE'!$H$32:$H$37</c:f>
              <c:numCache>
                <c:formatCode>0.0</c:formatCode>
                <c:ptCount val="6"/>
                <c:pt idx="0">
                  <c:v>-21.6</c:v>
                </c:pt>
                <c:pt idx="1">
                  <c:v>-18.600000000000001</c:v>
                </c:pt>
                <c:pt idx="2">
                  <c:v>-18.7</c:v>
                </c:pt>
                <c:pt idx="3">
                  <c:v>17.899999999999999</c:v>
                </c:pt>
                <c:pt idx="4">
                  <c:v>22.8</c:v>
                </c:pt>
                <c:pt idx="5">
                  <c:v>-120.2</c:v>
                </c:pt>
              </c:numCache>
            </c:numRef>
          </c:xVal>
          <c:yVal>
            <c:numRef>
              <c:f>'IKON-LAHE'!$M$32:$M$37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E9-D149-80EA-8C13793A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2400"/>
                  <a:t>Δ</a:t>
                </a:r>
                <a:r>
                  <a:rPr lang="en-US" sz="2400"/>
                  <a:t>14C (‰)</a:t>
                </a:r>
              </a:p>
            </c:rich>
          </c:tx>
          <c:layout>
            <c:manualLayout>
              <c:xMode val="edge"/>
              <c:yMode val="edge"/>
              <c:x val="0.48622774037993893"/>
              <c:y val="0.9443227537912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300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12702551717137736"/>
          <c:y val="3.7586783502011667E-2"/>
          <c:w val="0.12736496384457627"/>
          <c:h val="0.273018271521831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9124217554032"/>
          <c:y val="3.4386528570489065E-2"/>
          <c:w val="0.85993471140726874"/>
          <c:h val="0.82513984673444596"/>
        </c:manualLayout>
      </c:layout>
      <c:scatterChart>
        <c:scatterStyle val="smoothMarker"/>
        <c:varyColors val="0"/>
        <c:ser>
          <c:idx val="6"/>
          <c:order val="0"/>
          <c:tx>
            <c:v>IKON1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'IKON-LAHE'!$P$2:$P$7</c:f>
              <c:numCache>
                <c:formatCode>General</c:formatCode>
                <c:ptCount val="6"/>
                <c:pt idx="0">
                  <c:v>0.36</c:v>
                </c:pt>
                <c:pt idx="1">
                  <c:v>0.35</c:v>
                </c:pt>
                <c:pt idx="2">
                  <c:v>0.5</c:v>
                </c:pt>
                <c:pt idx="3">
                  <c:v>0.62</c:v>
                </c:pt>
                <c:pt idx="4">
                  <c:v>0.22</c:v>
                </c:pt>
                <c:pt idx="5">
                  <c:v>0.08</c:v>
                </c:pt>
              </c:numCache>
            </c:numRef>
          </c:xVal>
          <c:yVal>
            <c:numRef>
              <c:f>'IKON-LAHE'!$M$2:$M$7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18-BD4C-B9EE-DA4D48F94967}"/>
            </c:ext>
          </c:extLst>
        </c:ser>
        <c:ser>
          <c:idx val="0"/>
          <c:order val="1"/>
          <c:tx>
            <c:v>IKON3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'IKON-LAHE'!$P$8:$P$13</c:f>
              <c:numCache>
                <c:formatCode>General</c:formatCode>
                <c:ptCount val="6"/>
                <c:pt idx="0">
                  <c:v>0.38</c:v>
                </c:pt>
                <c:pt idx="1">
                  <c:v>0.31</c:v>
                </c:pt>
                <c:pt idx="2">
                  <c:v>0.25</c:v>
                </c:pt>
                <c:pt idx="3">
                  <c:v>0.15</c:v>
                </c:pt>
                <c:pt idx="4">
                  <c:v>0.06</c:v>
                </c:pt>
                <c:pt idx="5">
                  <c:v>0.22</c:v>
                </c:pt>
              </c:numCache>
            </c:numRef>
          </c:xVal>
          <c:yVal>
            <c:numRef>
              <c:f>'IKON-LAHE'!$M$8:$M$13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18-BD4C-B9EE-DA4D48F94967}"/>
            </c:ext>
          </c:extLst>
        </c:ser>
        <c:ser>
          <c:idx val="1"/>
          <c:order val="2"/>
          <c:tx>
            <c:v>IKON5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'IKON-LAHE'!$P$14:$P$19</c:f>
              <c:numCache>
                <c:formatCode>General</c:formatCode>
                <c:ptCount val="6"/>
                <c:pt idx="0">
                  <c:v>0.26</c:v>
                </c:pt>
                <c:pt idx="1">
                  <c:v>0.28000000000000003</c:v>
                </c:pt>
                <c:pt idx="2">
                  <c:v>0.38</c:v>
                </c:pt>
                <c:pt idx="3">
                  <c:v>0.21</c:v>
                </c:pt>
                <c:pt idx="4">
                  <c:v>0.09</c:v>
                </c:pt>
                <c:pt idx="5">
                  <c:v>0.06</c:v>
                </c:pt>
              </c:numCache>
            </c:numRef>
          </c:xVal>
          <c:yVal>
            <c:numRef>
              <c:f>'IKON-LAHE'!$M$14:$M$19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18-BD4C-B9EE-DA4D48F94967}"/>
            </c:ext>
          </c:extLst>
        </c:ser>
        <c:ser>
          <c:idx val="7"/>
          <c:order val="3"/>
          <c:tx>
            <c:v>LAHE1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'IKON-LAHE'!$P$20:$P$25</c:f>
              <c:numCache>
                <c:formatCode>0.00</c:formatCode>
                <c:ptCount val="6"/>
                <c:pt idx="0">
                  <c:v>0.45</c:v>
                </c:pt>
                <c:pt idx="1">
                  <c:v>0.28999999999999998</c:v>
                </c:pt>
                <c:pt idx="2">
                  <c:v>0.28000000000000003</c:v>
                </c:pt>
                <c:pt idx="3">
                  <c:v>0.24</c:v>
                </c:pt>
                <c:pt idx="4">
                  <c:v>0.17</c:v>
                </c:pt>
                <c:pt idx="5">
                  <c:v>0.18</c:v>
                </c:pt>
              </c:numCache>
            </c:numRef>
          </c:xVal>
          <c:yVal>
            <c:numRef>
              <c:f>'IKON-LAHE'!$M$20:$M$25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18-BD4C-B9EE-DA4D48F94967}"/>
            </c:ext>
          </c:extLst>
        </c:ser>
        <c:ser>
          <c:idx val="2"/>
          <c:order val="4"/>
          <c:tx>
            <c:v>LAHE3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'IKON-LAHE'!$P$26:$P$31</c:f>
              <c:numCache>
                <c:formatCode>General</c:formatCode>
                <c:ptCount val="6"/>
                <c:pt idx="0">
                  <c:v>0.57999999999999996</c:v>
                </c:pt>
                <c:pt idx="1">
                  <c:v>0.67</c:v>
                </c:pt>
                <c:pt idx="2">
                  <c:v>0.47</c:v>
                </c:pt>
                <c:pt idx="3">
                  <c:v>0.3</c:v>
                </c:pt>
                <c:pt idx="4">
                  <c:v>0.24</c:v>
                </c:pt>
                <c:pt idx="5">
                  <c:v>0.21</c:v>
                </c:pt>
              </c:numCache>
            </c:numRef>
          </c:xVal>
          <c:yVal>
            <c:numRef>
              <c:f>'IKON-LAHE'!$M$26:$M$31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18-BD4C-B9EE-DA4D48F94967}"/>
            </c:ext>
          </c:extLst>
        </c:ser>
        <c:ser>
          <c:idx val="3"/>
          <c:order val="5"/>
          <c:tx>
            <c:v>LAHE5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'IKON-LAHE'!$P$32:$P$37</c:f>
              <c:numCache>
                <c:formatCode>General</c:formatCode>
                <c:ptCount val="6"/>
                <c:pt idx="0">
                  <c:v>0.65</c:v>
                </c:pt>
                <c:pt idx="1">
                  <c:v>0.57999999999999996</c:v>
                </c:pt>
                <c:pt idx="2">
                  <c:v>0.44</c:v>
                </c:pt>
                <c:pt idx="3">
                  <c:v>0.31</c:v>
                </c:pt>
                <c:pt idx="4">
                  <c:v>0.27</c:v>
                </c:pt>
                <c:pt idx="5">
                  <c:v>0.18</c:v>
                </c:pt>
              </c:numCache>
            </c:numRef>
          </c:xVal>
          <c:yVal>
            <c:numRef>
              <c:f>'IKON-LAHE'!$M$32:$M$37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18-BD4C-B9EE-DA4D48F9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52463"/>
        <c:axId val="1232459775"/>
      </c:scatterChart>
      <c:valAx>
        <c:axId val="133205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C (%)</a:t>
                </a:r>
              </a:p>
            </c:rich>
          </c:tx>
          <c:layout>
            <c:manualLayout>
              <c:xMode val="edge"/>
              <c:yMode val="edge"/>
              <c:x val="0.48622774037993893"/>
              <c:y val="0.9443227537912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59775"/>
        <c:crosses val="max"/>
        <c:crossBetween val="midCat"/>
      </c:valAx>
      <c:valAx>
        <c:axId val="12324597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Depth</a:t>
                </a:r>
                <a:r>
                  <a:rPr lang="en-US" sz="2400" baseline="0"/>
                  <a:t> (cm)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2.2123893805309734E-3"/>
              <c:y val="0.40334151649057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052463"/>
        <c:crossesAt val="-300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4986263911239803"/>
          <c:y val="0.55681861399995813"/>
          <c:w val="0.21104152247665714"/>
          <c:h val="0.28982235254519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748586</xdr:colOff>
      <xdr:row>1</xdr:row>
      <xdr:rowOff>46237</xdr:rowOff>
    </xdr:from>
    <xdr:to>
      <xdr:col>33</xdr:col>
      <xdr:colOff>83613</xdr:colOff>
      <xdr:row>43</xdr:row>
      <xdr:rowOff>130618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03B8E-42A7-256E-1001-84CC2ED7C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675561</xdr:colOff>
      <xdr:row>46</xdr:row>
      <xdr:rowOff>62190</xdr:rowOff>
    </xdr:from>
    <xdr:to>
      <xdr:col>32</xdr:col>
      <xdr:colOff>838002</xdr:colOff>
      <xdr:row>86</xdr:row>
      <xdr:rowOff>195539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6699B-A80B-0D4D-BEC5-831CE8F47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635000</xdr:colOff>
      <xdr:row>1</xdr:row>
      <xdr:rowOff>141110</xdr:rowOff>
    </xdr:from>
    <xdr:to>
      <xdr:col>44</xdr:col>
      <xdr:colOff>802582</xdr:colOff>
      <xdr:row>44</xdr:row>
      <xdr:rowOff>27935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08ADE7-5AED-C140-89C7-A25327A6E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560779</xdr:colOff>
      <xdr:row>46</xdr:row>
      <xdr:rowOff>148442</xdr:rowOff>
    </xdr:from>
    <xdr:to>
      <xdr:col>44</xdr:col>
      <xdr:colOff>728361</xdr:colOff>
      <xdr:row>89</xdr:row>
      <xdr:rowOff>51761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353C54-2CC9-4E41-A9D3-5D323C902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1602-DAB3-8648-AE1A-A9DD866C27CC}">
  <dimension ref="A1:S37"/>
  <sheetViews>
    <sheetView tabSelected="1" zoomScale="77" zoomScaleNormal="77" workbookViewId="0">
      <selection activeCell="Q71" sqref="Q71"/>
    </sheetView>
  </sheetViews>
  <sheetFormatPr baseColWidth="10" defaultColWidth="11" defaultRowHeight="16" x14ac:dyDescent="0.2"/>
  <cols>
    <col min="1" max="1" width="8.6640625" bestFit="1" customWidth="1"/>
    <col min="2" max="2" width="15.83203125" bestFit="1" customWidth="1"/>
    <col min="3" max="3" width="5.33203125" bestFit="1" customWidth="1"/>
    <col min="4" max="4" width="4.33203125" bestFit="1" customWidth="1"/>
    <col min="5" max="5" width="10" bestFit="1" customWidth="1"/>
    <col min="6" max="6" width="13.6640625" bestFit="1" customWidth="1"/>
    <col min="7" max="7" width="17.5" style="8" bestFit="1" customWidth="1"/>
    <col min="8" max="8" width="9.33203125" style="11" bestFit="1" customWidth="1"/>
    <col min="9" max="9" width="10.5" style="11" bestFit="1" customWidth="1"/>
    <col min="10" max="10" width="9" customWidth="1"/>
    <col min="11" max="11" width="9.6640625" bestFit="1" customWidth="1"/>
    <col min="12" max="12" width="12.83203125" bestFit="1" customWidth="1"/>
    <col min="13" max="13" width="10" bestFit="1" customWidth="1"/>
    <col min="14" max="14" width="10.83203125" style="11"/>
    <col min="15" max="15" width="15.5" style="11" bestFit="1" customWidth="1"/>
    <col min="16" max="16" width="10.5" bestFit="1" customWidth="1"/>
    <col min="17" max="17" width="13.5" style="6" bestFit="1" customWidth="1"/>
    <col min="19" max="19" width="11" style="6"/>
  </cols>
  <sheetData>
    <row r="1" spans="1:19" x14ac:dyDescent="0.2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8" t="s">
        <v>5</v>
      </c>
      <c r="H1" s="11" t="s">
        <v>6</v>
      </c>
      <c r="I1" s="11" t="s">
        <v>7</v>
      </c>
      <c r="J1" t="s">
        <v>89</v>
      </c>
      <c r="K1" t="s">
        <v>8</v>
      </c>
      <c r="L1" t="s">
        <v>9</v>
      </c>
      <c r="M1" t="s">
        <v>10</v>
      </c>
      <c r="N1" s="11" t="s">
        <v>11</v>
      </c>
      <c r="O1" s="11" t="s">
        <v>92</v>
      </c>
      <c r="P1" t="s">
        <v>12</v>
      </c>
      <c r="Q1" s="6" t="s">
        <v>90</v>
      </c>
      <c r="R1" t="s">
        <v>13</v>
      </c>
      <c r="S1" s="6" t="s">
        <v>91</v>
      </c>
    </row>
    <row r="2" spans="1:19" x14ac:dyDescent="0.2">
      <c r="A2">
        <v>193543</v>
      </c>
      <c r="B2" t="s">
        <v>14</v>
      </c>
      <c r="C2" t="s">
        <v>15</v>
      </c>
      <c r="D2">
        <v>1</v>
      </c>
      <c r="E2" t="s">
        <v>16</v>
      </c>
      <c r="F2">
        <v>0.97470000000000001</v>
      </c>
      <c r="G2" s="8">
        <v>3.2000000000000002E-3</v>
      </c>
      <c r="H2" s="11">
        <v>-34</v>
      </c>
      <c r="I2" s="11">
        <v>3.2</v>
      </c>
      <c r="J2" s="1">
        <v>45522</v>
      </c>
      <c r="K2">
        <v>0</v>
      </c>
      <c r="L2">
        <v>10</v>
      </c>
      <c r="M2">
        <v>5</v>
      </c>
      <c r="N2" s="11">
        <f t="shared" ref="N2:N7" si="0">AVERAGE(H2,H8,H14)</f>
        <v>-42.766666666666673</v>
      </c>
      <c r="O2" s="11">
        <f>STDEV(H2,H8,H14)</f>
        <v>8.1451417012433396</v>
      </c>
      <c r="P2">
        <v>0.36</v>
      </c>
      <c r="Q2" s="6">
        <f>AVERAGE(P2,P8,P14)</f>
        <v>0.33333333333333331</v>
      </c>
      <c r="R2">
        <v>0.04</v>
      </c>
      <c r="S2" s="6">
        <f>P2/R2</f>
        <v>9</v>
      </c>
    </row>
    <row r="3" spans="1:19" x14ac:dyDescent="0.2">
      <c r="A3">
        <v>193544</v>
      </c>
      <c r="B3" t="s">
        <v>17</v>
      </c>
      <c r="C3" t="s">
        <v>15</v>
      </c>
      <c r="D3">
        <v>1</v>
      </c>
      <c r="E3" t="s">
        <v>18</v>
      </c>
      <c r="F3">
        <v>0.97489999999999999</v>
      </c>
      <c r="G3" s="8">
        <v>3.2000000000000002E-3</v>
      </c>
      <c r="H3" s="11">
        <v>-33.799999999999997</v>
      </c>
      <c r="I3" s="11">
        <v>3.2</v>
      </c>
      <c r="J3" s="1">
        <v>45522</v>
      </c>
      <c r="K3">
        <v>10</v>
      </c>
      <c r="L3">
        <v>20</v>
      </c>
      <c r="M3">
        <v>15</v>
      </c>
      <c r="N3" s="11">
        <f t="shared" si="0"/>
        <v>-32.133333333333333</v>
      </c>
      <c r="O3" s="11">
        <f t="shared" ref="O3:O6" si="1">STDEV(H3,H9,H15)</f>
        <v>1.4742229591663967</v>
      </c>
      <c r="P3">
        <v>0.35</v>
      </c>
      <c r="Q3" s="6">
        <f t="shared" ref="Q3:Q6" si="2">AVERAGE(P3,P9,P15)</f>
        <v>0.3133333333333333</v>
      </c>
      <c r="R3">
        <v>0.04</v>
      </c>
      <c r="S3" s="6">
        <f t="shared" ref="S3:S37" si="3">P3/R3</f>
        <v>8.75</v>
      </c>
    </row>
    <row r="4" spans="1:19" x14ac:dyDescent="0.2">
      <c r="A4">
        <v>193545</v>
      </c>
      <c r="B4" t="s">
        <v>19</v>
      </c>
      <c r="C4" t="s">
        <v>15</v>
      </c>
      <c r="D4">
        <v>1</v>
      </c>
      <c r="E4" t="s">
        <v>20</v>
      </c>
      <c r="F4">
        <v>0.98280000000000001</v>
      </c>
      <c r="G4" s="8">
        <v>3.2000000000000002E-3</v>
      </c>
      <c r="H4" s="11">
        <v>-26</v>
      </c>
      <c r="I4" s="11">
        <v>3.2</v>
      </c>
      <c r="J4" s="1">
        <v>45522</v>
      </c>
      <c r="K4">
        <v>20</v>
      </c>
      <c r="L4">
        <v>30</v>
      </c>
      <c r="M4">
        <v>25</v>
      </c>
      <c r="N4" s="11">
        <f t="shared" si="0"/>
        <v>-34.233333333333334</v>
      </c>
      <c r="O4" s="11">
        <f t="shared" si="1"/>
        <v>7.180761333823404</v>
      </c>
      <c r="P4">
        <v>0.5</v>
      </c>
      <c r="Q4" s="6">
        <f t="shared" si="2"/>
        <v>0.37666666666666665</v>
      </c>
      <c r="R4">
        <v>0.05</v>
      </c>
      <c r="S4" s="6">
        <f t="shared" si="3"/>
        <v>10</v>
      </c>
    </row>
    <row r="5" spans="1:19" x14ac:dyDescent="0.2">
      <c r="A5">
        <v>193546</v>
      </c>
      <c r="B5" t="s">
        <v>21</v>
      </c>
      <c r="C5" t="s">
        <v>15</v>
      </c>
      <c r="D5">
        <v>1</v>
      </c>
      <c r="E5" t="s">
        <v>22</v>
      </c>
      <c r="F5">
        <v>0.98540000000000005</v>
      </c>
      <c r="G5" s="8">
        <v>3.2000000000000002E-3</v>
      </c>
      <c r="H5" s="11">
        <v>-23.4</v>
      </c>
      <c r="I5" s="11">
        <v>3.2</v>
      </c>
      <c r="J5" s="1">
        <v>45522</v>
      </c>
      <c r="K5">
        <v>30</v>
      </c>
      <c r="L5">
        <v>40</v>
      </c>
      <c r="M5">
        <v>35</v>
      </c>
      <c r="N5" s="11">
        <f t="shared" si="0"/>
        <v>-52.666666666666664</v>
      </c>
      <c r="O5" s="11">
        <f t="shared" si="1"/>
        <v>32.286271592324375</v>
      </c>
      <c r="P5">
        <v>0.62</v>
      </c>
      <c r="Q5" s="6">
        <f t="shared" si="2"/>
        <v>0.32666666666666666</v>
      </c>
      <c r="R5">
        <v>7.0000000000000007E-2</v>
      </c>
      <c r="S5" s="6">
        <f t="shared" si="3"/>
        <v>8.8571428571428559</v>
      </c>
    </row>
    <row r="6" spans="1:19" x14ac:dyDescent="0.2">
      <c r="A6">
        <v>193715</v>
      </c>
      <c r="B6" t="s">
        <v>23</v>
      </c>
      <c r="C6" t="s">
        <v>15</v>
      </c>
      <c r="D6">
        <v>1</v>
      </c>
      <c r="E6" t="s">
        <v>24</v>
      </c>
      <c r="F6">
        <v>0.9829</v>
      </c>
      <c r="G6" s="8">
        <v>3.8E-3</v>
      </c>
      <c r="H6" s="11">
        <v>-25.9</v>
      </c>
      <c r="I6" s="11">
        <v>3.8</v>
      </c>
      <c r="J6" s="1">
        <v>45553</v>
      </c>
      <c r="K6">
        <v>40</v>
      </c>
      <c r="L6">
        <v>50</v>
      </c>
      <c r="M6">
        <v>45</v>
      </c>
      <c r="N6" s="11">
        <f t="shared" si="0"/>
        <v>-110.76666666666667</v>
      </c>
      <c r="O6" s="11">
        <f t="shared" si="1"/>
        <v>83.391386445683523</v>
      </c>
      <c r="P6">
        <v>0.22</v>
      </c>
      <c r="Q6" s="6">
        <f t="shared" si="2"/>
        <v>0.12333333333333334</v>
      </c>
      <c r="R6">
        <v>0.02</v>
      </c>
      <c r="S6" s="6">
        <f t="shared" si="3"/>
        <v>11</v>
      </c>
    </row>
    <row r="7" spans="1:19" x14ac:dyDescent="0.2">
      <c r="A7" s="4">
        <v>193677</v>
      </c>
      <c r="B7" s="4" t="s">
        <v>25</v>
      </c>
      <c r="C7" s="4" t="s">
        <v>15</v>
      </c>
      <c r="D7" s="4">
        <v>1</v>
      </c>
      <c r="E7" s="4" t="s">
        <v>26</v>
      </c>
      <c r="F7" s="4">
        <v>0.8851</v>
      </c>
      <c r="G7" s="9">
        <v>3.8999999999999998E-3</v>
      </c>
      <c r="H7" s="12">
        <v>-122.8</v>
      </c>
      <c r="I7" s="12">
        <v>3.9</v>
      </c>
      <c r="J7" s="5">
        <v>45551</v>
      </c>
      <c r="K7" s="4">
        <v>50</v>
      </c>
      <c r="L7" s="4">
        <v>100</v>
      </c>
      <c r="M7" s="4">
        <v>75</v>
      </c>
      <c r="N7" s="12">
        <f t="shared" si="0"/>
        <v>-193.13333333333335</v>
      </c>
      <c r="O7" s="12">
        <f>STDEV(H7,H13,H19)</f>
        <v>67.163779921422829</v>
      </c>
      <c r="P7" s="4">
        <v>0.08</v>
      </c>
      <c r="Q7" s="7">
        <f>AVERAGE(P7,P13,P19)</f>
        <v>0.12</v>
      </c>
      <c r="R7" s="4">
        <v>0.01</v>
      </c>
      <c r="S7" s="7">
        <f t="shared" si="3"/>
        <v>8</v>
      </c>
    </row>
    <row r="8" spans="1:19" x14ac:dyDescent="0.2">
      <c r="A8">
        <v>193547</v>
      </c>
      <c r="B8" t="s">
        <v>27</v>
      </c>
      <c r="C8" t="s">
        <v>15</v>
      </c>
      <c r="D8">
        <v>3</v>
      </c>
      <c r="E8" t="s">
        <v>28</v>
      </c>
      <c r="F8">
        <v>0.95850000000000002</v>
      </c>
      <c r="G8" s="8">
        <v>3.0999999999999999E-3</v>
      </c>
      <c r="H8" s="11">
        <v>-50.1</v>
      </c>
      <c r="I8" s="11">
        <v>3.1</v>
      </c>
      <c r="J8" s="1">
        <v>45522</v>
      </c>
      <c r="K8">
        <v>0</v>
      </c>
      <c r="L8">
        <v>10</v>
      </c>
      <c r="M8">
        <v>5</v>
      </c>
      <c r="P8">
        <v>0.38</v>
      </c>
      <c r="R8">
        <v>0.03</v>
      </c>
      <c r="S8" s="6">
        <f t="shared" si="3"/>
        <v>12.666666666666668</v>
      </c>
    </row>
    <row r="9" spans="1:19" x14ac:dyDescent="0.2">
      <c r="A9">
        <v>193548</v>
      </c>
      <c r="B9" t="s">
        <v>29</v>
      </c>
      <c r="C9" t="s">
        <v>15</v>
      </c>
      <c r="D9">
        <v>3</v>
      </c>
      <c r="E9" t="s">
        <v>30</v>
      </c>
      <c r="F9">
        <v>0.97709999999999997</v>
      </c>
      <c r="G9" s="8">
        <v>3.2000000000000002E-3</v>
      </c>
      <c r="H9" s="11">
        <v>-31.6</v>
      </c>
      <c r="I9" s="11">
        <v>3.2</v>
      </c>
      <c r="J9" s="1">
        <v>45522</v>
      </c>
      <c r="K9">
        <v>10</v>
      </c>
      <c r="L9">
        <v>20</v>
      </c>
      <c r="M9">
        <v>15</v>
      </c>
      <c r="P9">
        <v>0.31</v>
      </c>
      <c r="R9">
        <v>0.03</v>
      </c>
      <c r="S9" s="6">
        <f t="shared" si="3"/>
        <v>10.333333333333334</v>
      </c>
    </row>
    <row r="10" spans="1:19" x14ac:dyDescent="0.2">
      <c r="A10">
        <v>193549</v>
      </c>
      <c r="B10" t="s">
        <v>31</v>
      </c>
      <c r="C10" t="s">
        <v>15</v>
      </c>
      <c r="D10">
        <v>3</v>
      </c>
      <c r="E10" t="s">
        <v>32</v>
      </c>
      <c r="F10">
        <v>0.97119999999999995</v>
      </c>
      <c r="G10" s="8">
        <v>3.2000000000000002E-3</v>
      </c>
      <c r="H10" s="11">
        <v>-37.5</v>
      </c>
      <c r="I10" s="11">
        <v>3.2</v>
      </c>
      <c r="J10" s="1">
        <v>45522</v>
      </c>
      <c r="K10">
        <v>20</v>
      </c>
      <c r="L10">
        <v>30</v>
      </c>
      <c r="M10">
        <v>25</v>
      </c>
      <c r="P10">
        <v>0.25</v>
      </c>
      <c r="R10">
        <v>0.03</v>
      </c>
      <c r="S10" s="6">
        <f t="shared" si="3"/>
        <v>8.3333333333333339</v>
      </c>
    </row>
    <row r="11" spans="1:19" x14ac:dyDescent="0.2">
      <c r="A11">
        <v>193550</v>
      </c>
      <c r="B11" t="s">
        <v>33</v>
      </c>
      <c r="C11" t="s">
        <v>15</v>
      </c>
      <c r="D11">
        <v>3</v>
      </c>
      <c r="E11" t="s">
        <v>34</v>
      </c>
      <c r="F11">
        <v>0.92090000000000005</v>
      </c>
      <c r="G11" s="8">
        <v>3.0000000000000001E-3</v>
      </c>
      <c r="H11" s="11">
        <v>-87.3</v>
      </c>
      <c r="I11" s="11">
        <v>3</v>
      </c>
      <c r="J11" s="1">
        <v>45522</v>
      </c>
      <c r="K11">
        <v>30</v>
      </c>
      <c r="L11">
        <v>40</v>
      </c>
      <c r="M11">
        <v>35</v>
      </c>
      <c r="P11">
        <v>0.15</v>
      </c>
      <c r="R11">
        <v>0.02</v>
      </c>
      <c r="S11" s="6">
        <f t="shared" si="3"/>
        <v>7.5</v>
      </c>
    </row>
    <row r="12" spans="1:19" x14ac:dyDescent="0.2">
      <c r="A12">
        <v>193678</v>
      </c>
      <c r="B12" t="s">
        <v>35</v>
      </c>
      <c r="C12" t="s">
        <v>15</v>
      </c>
      <c r="D12">
        <v>3</v>
      </c>
      <c r="E12" t="s">
        <v>36</v>
      </c>
      <c r="F12">
        <v>0.81459999999999999</v>
      </c>
      <c r="G12" s="8">
        <v>3.3E-3</v>
      </c>
      <c r="H12" s="11">
        <v>-192.6</v>
      </c>
      <c r="I12" s="11">
        <v>3.3</v>
      </c>
      <c r="J12" s="1">
        <v>45551</v>
      </c>
      <c r="K12">
        <v>40</v>
      </c>
      <c r="L12">
        <v>50</v>
      </c>
      <c r="M12">
        <v>45</v>
      </c>
      <c r="P12">
        <v>0.06</v>
      </c>
      <c r="R12">
        <v>0.01</v>
      </c>
      <c r="S12" s="6">
        <f t="shared" si="3"/>
        <v>6</v>
      </c>
    </row>
    <row r="13" spans="1:19" x14ac:dyDescent="0.2">
      <c r="A13" s="4">
        <v>193679</v>
      </c>
      <c r="B13" s="4" t="s">
        <v>37</v>
      </c>
      <c r="C13" s="4" t="s">
        <v>15</v>
      </c>
      <c r="D13" s="4">
        <v>3</v>
      </c>
      <c r="E13" s="4" t="s">
        <v>38</v>
      </c>
      <c r="F13" s="4">
        <v>0.75009999999999999</v>
      </c>
      <c r="G13" s="9">
        <v>3.0000000000000001E-3</v>
      </c>
      <c r="H13" s="12">
        <v>-256.60000000000002</v>
      </c>
      <c r="I13" s="12">
        <v>3</v>
      </c>
      <c r="J13" s="5">
        <v>45551</v>
      </c>
      <c r="K13" s="4">
        <v>50</v>
      </c>
      <c r="L13" s="4">
        <v>100</v>
      </c>
      <c r="M13" s="4">
        <v>75</v>
      </c>
      <c r="N13" s="12"/>
      <c r="O13" s="12"/>
      <c r="P13" s="4">
        <v>0.22</v>
      </c>
      <c r="Q13" s="7"/>
      <c r="R13" s="4">
        <v>0.03</v>
      </c>
      <c r="S13" s="7">
        <f t="shared" si="3"/>
        <v>7.3333333333333339</v>
      </c>
    </row>
    <row r="14" spans="1:19" x14ac:dyDescent="0.2">
      <c r="A14">
        <v>193551</v>
      </c>
      <c r="B14" t="s">
        <v>39</v>
      </c>
      <c r="C14" t="s">
        <v>15</v>
      </c>
      <c r="D14">
        <v>5</v>
      </c>
      <c r="E14" t="s">
        <v>40</v>
      </c>
      <c r="F14">
        <v>0.96440000000000003</v>
      </c>
      <c r="G14" s="8">
        <v>3.0999999999999999E-3</v>
      </c>
      <c r="H14" s="11">
        <v>-44.2</v>
      </c>
      <c r="I14" s="11">
        <v>3.1</v>
      </c>
      <c r="J14" s="1">
        <v>45522</v>
      </c>
      <c r="K14">
        <v>0</v>
      </c>
      <c r="L14">
        <v>10</v>
      </c>
      <c r="M14">
        <v>5</v>
      </c>
      <c r="P14">
        <v>0.26</v>
      </c>
      <c r="R14">
        <v>0.03</v>
      </c>
      <c r="S14" s="6">
        <f t="shared" si="3"/>
        <v>8.6666666666666679</v>
      </c>
    </row>
    <row r="15" spans="1:19" x14ac:dyDescent="0.2">
      <c r="A15">
        <v>193552</v>
      </c>
      <c r="B15" t="s">
        <v>41</v>
      </c>
      <c r="C15" t="s">
        <v>15</v>
      </c>
      <c r="D15">
        <v>5</v>
      </c>
      <c r="E15" t="s">
        <v>42</v>
      </c>
      <c r="F15">
        <v>0.97770000000000001</v>
      </c>
      <c r="G15" s="8">
        <v>3.2000000000000002E-3</v>
      </c>
      <c r="H15" s="11">
        <v>-31</v>
      </c>
      <c r="I15" s="11">
        <v>3.2</v>
      </c>
      <c r="J15" s="1">
        <v>45522</v>
      </c>
      <c r="K15">
        <v>10</v>
      </c>
      <c r="L15">
        <v>20</v>
      </c>
      <c r="M15">
        <v>15</v>
      </c>
      <c r="P15">
        <v>0.28000000000000003</v>
      </c>
      <c r="R15">
        <v>0.03</v>
      </c>
      <c r="S15" s="6">
        <f t="shared" si="3"/>
        <v>9.3333333333333339</v>
      </c>
    </row>
    <row r="16" spans="1:19" x14ac:dyDescent="0.2">
      <c r="A16">
        <v>193553</v>
      </c>
      <c r="B16" t="s">
        <v>43</v>
      </c>
      <c r="C16" t="s">
        <v>15</v>
      </c>
      <c r="D16">
        <v>5</v>
      </c>
      <c r="E16" t="s">
        <v>44</v>
      </c>
      <c r="F16">
        <v>0.96940000000000004</v>
      </c>
      <c r="G16" s="8">
        <v>3.2000000000000002E-3</v>
      </c>
      <c r="H16" s="11">
        <v>-39.200000000000003</v>
      </c>
      <c r="I16" s="11">
        <v>3.2</v>
      </c>
      <c r="J16" s="1">
        <v>45522</v>
      </c>
      <c r="K16">
        <v>20</v>
      </c>
      <c r="L16">
        <v>30</v>
      </c>
      <c r="M16">
        <v>25</v>
      </c>
      <c r="P16">
        <v>0.38</v>
      </c>
      <c r="R16">
        <v>0.04</v>
      </c>
      <c r="S16" s="6">
        <f t="shared" si="3"/>
        <v>9.5</v>
      </c>
    </row>
    <row r="17" spans="1:19" x14ac:dyDescent="0.2">
      <c r="A17">
        <v>193554</v>
      </c>
      <c r="B17" t="s">
        <v>45</v>
      </c>
      <c r="C17" t="s">
        <v>15</v>
      </c>
      <c r="D17">
        <v>5</v>
      </c>
      <c r="E17" t="s">
        <v>46</v>
      </c>
      <c r="F17">
        <v>0.96130000000000004</v>
      </c>
      <c r="G17" s="8">
        <v>3.0999999999999999E-3</v>
      </c>
      <c r="H17" s="11">
        <v>-47.3</v>
      </c>
      <c r="I17" s="11">
        <v>3.1</v>
      </c>
      <c r="J17" s="1">
        <v>45522</v>
      </c>
      <c r="K17">
        <v>30</v>
      </c>
      <c r="L17">
        <v>40</v>
      </c>
      <c r="M17">
        <v>35</v>
      </c>
      <c r="P17">
        <v>0.21</v>
      </c>
      <c r="R17">
        <v>0.03</v>
      </c>
      <c r="S17" s="6">
        <f t="shared" si="3"/>
        <v>7</v>
      </c>
    </row>
    <row r="18" spans="1:19" x14ac:dyDescent="0.2">
      <c r="A18">
        <v>193680</v>
      </c>
      <c r="B18" t="s">
        <v>47</v>
      </c>
      <c r="C18" t="s">
        <v>15</v>
      </c>
      <c r="D18">
        <v>5</v>
      </c>
      <c r="E18" t="s">
        <v>48</v>
      </c>
      <c r="F18">
        <v>0.89419999999999999</v>
      </c>
      <c r="G18" s="8">
        <v>3.2000000000000002E-3</v>
      </c>
      <c r="H18" s="11">
        <v>-113.8</v>
      </c>
      <c r="I18" s="11">
        <v>3.2</v>
      </c>
      <c r="J18" s="1">
        <v>45551</v>
      </c>
      <c r="K18">
        <v>40</v>
      </c>
      <c r="L18">
        <v>50</v>
      </c>
      <c r="M18">
        <v>45</v>
      </c>
      <c r="P18">
        <v>0.09</v>
      </c>
      <c r="R18">
        <v>0.01</v>
      </c>
      <c r="S18" s="6">
        <f t="shared" si="3"/>
        <v>9</v>
      </c>
    </row>
    <row r="19" spans="1:19" ht="17" thickBot="1" x14ac:dyDescent="0.25">
      <c r="A19" s="2">
        <v>193681</v>
      </c>
      <c r="B19" s="2" t="s">
        <v>49</v>
      </c>
      <c r="C19" s="2" t="s">
        <v>15</v>
      </c>
      <c r="D19" s="2">
        <v>5</v>
      </c>
      <c r="E19" s="2" t="s">
        <v>50</v>
      </c>
      <c r="F19" s="2">
        <v>0.80720000000000003</v>
      </c>
      <c r="G19" s="10">
        <v>3.5999999999999999E-3</v>
      </c>
      <c r="H19" s="13">
        <v>-200</v>
      </c>
      <c r="I19" s="13">
        <v>3.6</v>
      </c>
      <c r="J19" s="3">
        <v>45551</v>
      </c>
      <c r="K19" s="2">
        <v>50</v>
      </c>
      <c r="L19" s="2">
        <v>100</v>
      </c>
      <c r="M19" s="2">
        <v>75</v>
      </c>
      <c r="N19" s="13"/>
      <c r="O19" s="13"/>
      <c r="P19" s="2">
        <v>0.06</v>
      </c>
      <c r="Q19" s="14"/>
      <c r="R19" s="2">
        <v>0.01</v>
      </c>
      <c r="S19" s="14">
        <f t="shared" si="3"/>
        <v>6</v>
      </c>
    </row>
    <row r="20" spans="1:19" x14ac:dyDescent="0.2">
      <c r="A20">
        <v>193555</v>
      </c>
      <c r="B20" t="s">
        <v>51</v>
      </c>
      <c r="C20" t="s">
        <v>52</v>
      </c>
      <c r="D20">
        <v>1</v>
      </c>
      <c r="E20" t="s">
        <v>53</v>
      </c>
      <c r="F20">
        <v>0.98839999999999995</v>
      </c>
      <c r="G20" s="8">
        <v>3.2000000000000002E-3</v>
      </c>
      <c r="H20" s="11">
        <v>-20.399999999999999</v>
      </c>
      <c r="I20" s="11">
        <v>3.2</v>
      </c>
      <c r="J20" s="1">
        <v>45522</v>
      </c>
      <c r="K20">
        <v>0</v>
      </c>
      <c r="L20">
        <v>10</v>
      </c>
      <c r="M20">
        <v>5</v>
      </c>
      <c r="N20" s="11">
        <f t="shared" ref="N20:N25" si="4">AVERAGE(H20,H26,H32)</f>
        <v>-20.7</v>
      </c>
      <c r="O20" s="11">
        <f>STDEV(H20,H26,H32)</f>
        <v>0.79372539331937764</v>
      </c>
      <c r="P20" s="6">
        <v>0.45</v>
      </c>
      <c r="Q20" s="6">
        <f>AVERAGE(P20,P26,P32)</f>
        <v>0.56000000000000005</v>
      </c>
      <c r="R20">
        <v>0.05</v>
      </c>
      <c r="S20" s="6">
        <f t="shared" si="3"/>
        <v>9</v>
      </c>
    </row>
    <row r="21" spans="1:19" x14ac:dyDescent="0.2">
      <c r="A21">
        <v>193556</v>
      </c>
      <c r="B21" t="s">
        <v>54</v>
      </c>
      <c r="C21" t="s">
        <v>52</v>
      </c>
      <c r="D21">
        <v>1</v>
      </c>
      <c r="E21" t="s">
        <v>55</v>
      </c>
      <c r="F21">
        <v>0.99429999999999996</v>
      </c>
      <c r="G21" s="8">
        <v>3.2000000000000002E-3</v>
      </c>
      <c r="H21" s="11">
        <v>-14.6</v>
      </c>
      <c r="I21" s="11">
        <v>3.2</v>
      </c>
      <c r="J21" s="1">
        <v>45522</v>
      </c>
      <c r="K21">
        <v>10</v>
      </c>
      <c r="L21">
        <v>20</v>
      </c>
      <c r="M21">
        <v>15</v>
      </c>
      <c r="N21" s="11">
        <f t="shared" si="4"/>
        <v>-17.7</v>
      </c>
      <c r="O21" s="11">
        <f t="shared" ref="O21:O24" si="5">STDEV(H21,H27,H33)</f>
        <v>2.762245463386626</v>
      </c>
      <c r="P21" s="6">
        <v>0.28999999999999998</v>
      </c>
      <c r="Q21" s="6">
        <f t="shared" ref="Q21:Q24" si="6">AVERAGE(P21,P27,P33)</f>
        <v>0.51333333333333331</v>
      </c>
      <c r="R21">
        <v>0.03</v>
      </c>
      <c r="S21" s="6">
        <f t="shared" si="3"/>
        <v>9.6666666666666661</v>
      </c>
    </row>
    <row r="22" spans="1:19" x14ac:dyDescent="0.2">
      <c r="A22">
        <v>193569</v>
      </c>
      <c r="B22" t="s">
        <v>56</v>
      </c>
      <c r="C22" t="s">
        <v>52</v>
      </c>
      <c r="D22">
        <v>1</v>
      </c>
      <c r="E22" t="s">
        <v>57</v>
      </c>
      <c r="F22">
        <v>0.99080000000000001</v>
      </c>
      <c r="G22" s="8">
        <v>3.0999999999999999E-3</v>
      </c>
      <c r="H22" s="11">
        <v>-18</v>
      </c>
      <c r="I22" s="11">
        <v>3.1</v>
      </c>
      <c r="J22" s="1">
        <v>45531</v>
      </c>
      <c r="K22">
        <v>20</v>
      </c>
      <c r="L22">
        <v>30</v>
      </c>
      <c r="M22">
        <v>25</v>
      </c>
      <c r="N22" s="11">
        <f t="shared" si="4"/>
        <v>-17.566666666666666</v>
      </c>
      <c r="O22" s="11">
        <f t="shared" si="5"/>
        <v>1.4011899704655799</v>
      </c>
      <c r="P22" s="6">
        <v>0.28000000000000003</v>
      </c>
      <c r="Q22" s="6">
        <f t="shared" si="6"/>
        <v>0.39666666666666667</v>
      </c>
      <c r="R22">
        <v>0.04</v>
      </c>
      <c r="S22" s="6">
        <f t="shared" si="3"/>
        <v>7.0000000000000009</v>
      </c>
    </row>
    <row r="23" spans="1:19" x14ac:dyDescent="0.2">
      <c r="A23">
        <v>193570</v>
      </c>
      <c r="B23" t="s">
        <v>58</v>
      </c>
      <c r="C23" t="s">
        <v>52</v>
      </c>
      <c r="D23">
        <v>1</v>
      </c>
      <c r="E23" t="s">
        <v>59</v>
      </c>
      <c r="F23">
        <v>0.89280000000000004</v>
      </c>
      <c r="G23" s="8">
        <v>2.8999999999999998E-3</v>
      </c>
      <c r="H23" s="11">
        <v>-115.1</v>
      </c>
      <c r="I23" s="11">
        <v>2.9</v>
      </c>
      <c r="J23" s="1">
        <v>45531</v>
      </c>
      <c r="K23">
        <v>30</v>
      </c>
      <c r="L23">
        <v>40</v>
      </c>
      <c r="M23">
        <v>35</v>
      </c>
      <c r="N23" s="11">
        <f t="shared" si="4"/>
        <v>-25.833333333333332</v>
      </c>
      <c r="O23" s="11">
        <f t="shared" si="5"/>
        <v>77.31243970625512</v>
      </c>
      <c r="P23" s="6">
        <v>0.24</v>
      </c>
      <c r="Q23" s="6">
        <f t="shared" si="6"/>
        <v>0.28333333333333338</v>
      </c>
      <c r="R23">
        <v>0.02</v>
      </c>
      <c r="S23" s="6">
        <f t="shared" si="3"/>
        <v>12</v>
      </c>
    </row>
    <row r="24" spans="1:19" x14ac:dyDescent="0.2">
      <c r="A24">
        <v>193716</v>
      </c>
      <c r="B24" t="s">
        <v>60</v>
      </c>
      <c r="C24" t="s">
        <v>52</v>
      </c>
      <c r="D24">
        <v>1</v>
      </c>
      <c r="E24" t="s">
        <v>61</v>
      </c>
      <c r="F24">
        <v>0.82599999999999996</v>
      </c>
      <c r="G24" s="8">
        <v>3.8999999999999998E-3</v>
      </c>
      <c r="H24" s="11">
        <v>-181.4</v>
      </c>
      <c r="I24" s="11">
        <v>3.9</v>
      </c>
      <c r="J24" s="1">
        <v>45553</v>
      </c>
      <c r="K24">
        <v>40</v>
      </c>
      <c r="L24">
        <v>50</v>
      </c>
      <c r="M24">
        <v>45</v>
      </c>
      <c r="N24" s="11">
        <f t="shared" si="4"/>
        <v>-60.133333333333333</v>
      </c>
      <c r="O24" s="11">
        <f t="shared" si="5"/>
        <v>107.36150768936383</v>
      </c>
      <c r="P24" s="6">
        <v>0.17</v>
      </c>
      <c r="Q24" s="6">
        <f t="shared" si="6"/>
        <v>0.22666666666666668</v>
      </c>
      <c r="R24">
        <v>0.02</v>
      </c>
      <c r="S24" s="6">
        <f t="shared" si="3"/>
        <v>8.5</v>
      </c>
    </row>
    <row r="25" spans="1:19" x14ac:dyDescent="0.2">
      <c r="A25" s="4">
        <v>193717</v>
      </c>
      <c r="B25" s="4" t="s">
        <v>62</v>
      </c>
      <c r="C25" s="4" t="s">
        <v>52</v>
      </c>
      <c r="D25" s="4">
        <v>1</v>
      </c>
      <c r="E25" s="4" t="s">
        <v>63</v>
      </c>
      <c r="F25" s="4">
        <v>0.8468</v>
      </c>
      <c r="G25" s="9">
        <v>3.8999999999999998E-3</v>
      </c>
      <c r="H25" s="12">
        <v>-160.80000000000001</v>
      </c>
      <c r="I25" s="12">
        <v>3.9</v>
      </c>
      <c r="J25" s="5">
        <v>45553</v>
      </c>
      <c r="K25" s="4">
        <v>50</v>
      </c>
      <c r="L25" s="4">
        <v>100</v>
      </c>
      <c r="M25" s="4">
        <v>75</v>
      </c>
      <c r="N25" s="12">
        <f t="shared" si="4"/>
        <v>-137.96666666666667</v>
      </c>
      <c r="O25" s="12">
        <f>STDEV(H25,H31,H37)</f>
        <v>20.768806738311437</v>
      </c>
      <c r="P25" s="7">
        <v>0.18</v>
      </c>
      <c r="Q25" s="7">
        <f>AVERAGE(P25,P31,P37)</f>
        <v>0.19000000000000003</v>
      </c>
      <c r="R25" s="4">
        <v>0.01</v>
      </c>
      <c r="S25" s="7">
        <f t="shared" si="3"/>
        <v>18</v>
      </c>
    </row>
    <row r="26" spans="1:19" x14ac:dyDescent="0.2">
      <c r="A26">
        <v>193571</v>
      </c>
      <c r="B26" t="s">
        <v>64</v>
      </c>
      <c r="C26" t="s">
        <v>52</v>
      </c>
      <c r="D26">
        <v>3</v>
      </c>
      <c r="E26" t="s">
        <v>65</v>
      </c>
      <c r="F26">
        <v>0.98870000000000002</v>
      </c>
      <c r="G26" s="8">
        <v>3.2000000000000002E-3</v>
      </c>
      <c r="H26" s="11">
        <v>-20.100000000000001</v>
      </c>
      <c r="I26" s="11">
        <v>3.2</v>
      </c>
      <c r="J26" s="1">
        <v>45531</v>
      </c>
      <c r="K26">
        <v>0</v>
      </c>
      <c r="L26">
        <v>10</v>
      </c>
      <c r="M26">
        <v>5</v>
      </c>
      <c r="P26">
        <v>0.57999999999999996</v>
      </c>
      <c r="R26">
        <v>0.08</v>
      </c>
      <c r="S26" s="6">
        <f t="shared" si="3"/>
        <v>7.2499999999999991</v>
      </c>
    </row>
    <row r="27" spans="1:19" x14ac:dyDescent="0.2">
      <c r="A27">
        <v>193572</v>
      </c>
      <c r="B27" t="s">
        <v>66</v>
      </c>
      <c r="C27" t="s">
        <v>52</v>
      </c>
      <c r="D27">
        <v>3</v>
      </c>
      <c r="E27" t="s">
        <v>67</v>
      </c>
      <c r="F27">
        <v>0.9889</v>
      </c>
      <c r="G27" s="8">
        <v>3.0999999999999999E-3</v>
      </c>
      <c r="H27" s="11">
        <v>-19.899999999999999</v>
      </c>
      <c r="I27" s="11">
        <v>3.1</v>
      </c>
      <c r="J27" s="1">
        <v>45531</v>
      </c>
      <c r="K27">
        <v>10</v>
      </c>
      <c r="L27">
        <v>20</v>
      </c>
      <c r="M27">
        <v>15</v>
      </c>
      <c r="P27">
        <v>0.67</v>
      </c>
      <c r="R27">
        <v>7.0000000000000007E-2</v>
      </c>
      <c r="S27" s="6">
        <f t="shared" si="3"/>
        <v>9.5714285714285712</v>
      </c>
    </row>
    <row r="28" spans="1:19" x14ac:dyDescent="0.2">
      <c r="A28">
        <v>193573</v>
      </c>
      <c r="B28" t="s">
        <v>68</v>
      </c>
      <c r="C28" t="s">
        <v>52</v>
      </c>
      <c r="D28">
        <v>3</v>
      </c>
      <c r="E28" t="s">
        <v>69</v>
      </c>
      <c r="F28">
        <v>0.99280000000000002</v>
      </c>
      <c r="G28" s="8">
        <v>3.2000000000000002E-3</v>
      </c>
      <c r="H28" s="11">
        <v>-16</v>
      </c>
      <c r="I28" s="11">
        <v>3.2</v>
      </c>
      <c r="J28" s="1">
        <v>45531</v>
      </c>
      <c r="K28">
        <v>20</v>
      </c>
      <c r="L28">
        <v>30</v>
      </c>
      <c r="M28">
        <v>25</v>
      </c>
      <c r="P28">
        <v>0.47</v>
      </c>
      <c r="R28">
        <v>0.05</v>
      </c>
      <c r="S28" s="6">
        <f t="shared" si="3"/>
        <v>9.3999999999999986</v>
      </c>
    </row>
    <row r="29" spans="1:19" x14ac:dyDescent="0.2">
      <c r="A29">
        <v>193574</v>
      </c>
      <c r="B29" t="s">
        <v>70</v>
      </c>
      <c r="C29" t="s">
        <v>52</v>
      </c>
      <c r="D29">
        <v>3</v>
      </c>
      <c r="E29" t="s">
        <v>71</v>
      </c>
      <c r="F29">
        <v>1.0287999999999999</v>
      </c>
      <c r="G29" s="8">
        <v>3.3E-3</v>
      </c>
      <c r="H29" s="11">
        <v>19.7</v>
      </c>
      <c r="I29" s="11">
        <v>3.3</v>
      </c>
      <c r="J29" s="1">
        <v>45531</v>
      </c>
      <c r="K29">
        <v>30</v>
      </c>
      <c r="L29">
        <v>40</v>
      </c>
      <c r="M29">
        <v>35</v>
      </c>
      <c r="P29">
        <v>0.3</v>
      </c>
      <c r="R29">
        <v>0.03</v>
      </c>
      <c r="S29" s="6">
        <f t="shared" si="3"/>
        <v>10</v>
      </c>
    </row>
    <row r="30" spans="1:19" x14ac:dyDescent="0.2">
      <c r="A30">
        <v>193718</v>
      </c>
      <c r="B30" t="s">
        <v>72</v>
      </c>
      <c r="C30" t="s">
        <v>52</v>
      </c>
      <c r="D30">
        <v>3</v>
      </c>
      <c r="E30" t="s">
        <v>73</v>
      </c>
      <c r="F30">
        <v>0.98699999999999999</v>
      </c>
      <c r="G30" s="8">
        <v>3.8E-3</v>
      </c>
      <c r="H30" s="11">
        <v>-21.8</v>
      </c>
      <c r="I30" s="11">
        <v>3.8</v>
      </c>
      <c r="J30" s="1">
        <v>45553</v>
      </c>
      <c r="K30">
        <v>40</v>
      </c>
      <c r="L30">
        <v>50</v>
      </c>
      <c r="M30">
        <v>45</v>
      </c>
      <c r="P30">
        <v>0.24</v>
      </c>
      <c r="R30">
        <v>0.03</v>
      </c>
      <c r="S30" s="6">
        <f t="shared" si="3"/>
        <v>8</v>
      </c>
    </row>
    <row r="31" spans="1:19" x14ac:dyDescent="0.2">
      <c r="A31" s="4">
        <v>193719</v>
      </c>
      <c r="B31" s="4" t="s">
        <v>74</v>
      </c>
      <c r="C31" s="4" t="s">
        <v>52</v>
      </c>
      <c r="D31" s="4">
        <v>3</v>
      </c>
      <c r="E31" s="4" t="s">
        <v>75</v>
      </c>
      <c r="F31" s="4">
        <v>0.87490000000000001</v>
      </c>
      <c r="G31" s="9">
        <v>3.8E-3</v>
      </c>
      <c r="H31" s="12">
        <v>-132.9</v>
      </c>
      <c r="I31" s="12">
        <v>3.8</v>
      </c>
      <c r="J31" s="5">
        <v>45553</v>
      </c>
      <c r="K31" s="4">
        <v>50</v>
      </c>
      <c r="L31" s="4">
        <v>100</v>
      </c>
      <c r="M31" s="4">
        <v>75</v>
      </c>
      <c r="N31" s="12"/>
      <c r="O31" s="12"/>
      <c r="P31" s="4">
        <v>0.21</v>
      </c>
      <c r="Q31" s="7"/>
      <c r="R31" s="4">
        <v>0.02</v>
      </c>
      <c r="S31" s="7">
        <f t="shared" si="3"/>
        <v>10.5</v>
      </c>
    </row>
    <row r="32" spans="1:19" x14ac:dyDescent="0.2">
      <c r="A32">
        <v>193575</v>
      </c>
      <c r="B32" t="s">
        <v>76</v>
      </c>
      <c r="C32" t="s">
        <v>52</v>
      </c>
      <c r="D32">
        <v>5</v>
      </c>
      <c r="E32" t="s">
        <v>77</v>
      </c>
      <c r="F32">
        <v>0.98719999999999997</v>
      </c>
      <c r="G32" s="8">
        <v>3.0999999999999999E-3</v>
      </c>
      <c r="H32" s="11">
        <v>-21.6</v>
      </c>
      <c r="I32" s="11">
        <v>3.1</v>
      </c>
      <c r="J32" s="1">
        <v>45531</v>
      </c>
      <c r="K32">
        <v>0</v>
      </c>
      <c r="L32">
        <v>10</v>
      </c>
      <c r="M32">
        <v>5</v>
      </c>
      <c r="P32">
        <v>0.65</v>
      </c>
      <c r="R32">
        <v>0.09</v>
      </c>
      <c r="S32" s="6">
        <f t="shared" si="3"/>
        <v>7.2222222222222223</v>
      </c>
    </row>
    <row r="33" spans="1:19" x14ac:dyDescent="0.2">
      <c r="A33">
        <v>193576</v>
      </c>
      <c r="B33" t="s">
        <v>78</v>
      </c>
      <c r="C33" t="s">
        <v>52</v>
      </c>
      <c r="D33">
        <v>5</v>
      </c>
      <c r="E33" t="s">
        <v>79</v>
      </c>
      <c r="F33">
        <v>0.99019999999999997</v>
      </c>
      <c r="G33" s="8">
        <v>3.2000000000000002E-3</v>
      </c>
      <c r="H33" s="11">
        <v>-18.600000000000001</v>
      </c>
      <c r="I33" s="11">
        <v>3.2</v>
      </c>
      <c r="J33" s="1">
        <v>45531</v>
      </c>
      <c r="K33">
        <v>10</v>
      </c>
      <c r="L33">
        <v>20</v>
      </c>
      <c r="M33">
        <v>15</v>
      </c>
      <c r="P33">
        <v>0.57999999999999996</v>
      </c>
      <c r="R33">
        <v>0.06</v>
      </c>
      <c r="S33" s="6">
        <f t="shared" si="3"/>
        <v>9.6666666666666661</v>
      </c>
    </row>
    <row r="34" spans="1:19" x14ac:dyDescent="0.2">
      <c r="A34">
        <v>193577</v>
      </c>
      <c r="B34" t="s">
        <v>80</v>
      </c>
      <c r="C34" t="s">
        <v>52</v>
      </c>
      <c r="D34">
        <v>5</v>
      </c>
      <c r="E34" t="s">
        <v>81</v>
      </c>
      <c r="F34">
        <v>0.99019999999999997</v>
      </c>
      <c r="G34" s="8">
        <v>3.2000000000000002E-3</v>
      </c>
      <c r="H34" s="11">
        <v>-18.7</v>
      </c>
      <c r="I34" s="11">
        <v>3.2</v>
      </c>
      <c r="J34" s="1">
        <v>45531</v>
      </c>
      <c r="K34">
        <v>20</v>
      </c>
      <c r="L34">
        <v>30</v>
      </c>
      <c r="M34">
        <v>25</v>
      </c>
      <c r="P34">
        <v>0.44</v>
      </c>
      <c r="R34">
        <v>0.06</v>
      </c>
      <c r="S34" s="6">
        <f t="shared" si="3"/>
        <v>7.3333333333333339</v>
      </c>
    </row>
    <row r="35" spans="1:19" x14ac:dyDescent="0.2">
      <c r="A35">
        <v>193578</v>
      </c>
      <c r="B35" t="s">
        <v>82</v>
      </c>
      <c r="C35" t="s">
        <v>52</v>
      </c>
      <c r="D35">
        <v>5</v>
      </c>
      <c r="E35" t="s">
        <v>83</v>
      </c>
      <c r="F35">
        <v>1.0270999999999999</v>
      </c>
      <c r="G35" s="8">
        <v>3.3E-3</v>
      </c>
      <c r="H35" s="11">
        <v>17.899999999999999</v>
      </c>
      <c r="I35" s="11">
        <v>3.3</v>
      </c>
      <c r="J35" s="1">
        <v>45531</v>
      </c>
      <c r="K35">
        <v>30</v>
      </c>
      <c r="L35">
        <v>40</v>
      </c>
      <c r="M35">
        <v>35</v>
      </c>
      <c r="P35">
        <v>0.31</v>
      </c>
      <c r="R35">
        <v>0.03</v>
      </c>
      <c r="S35" s="6">
        <f t="shared" si="3"/>
        <v>10.333333333333334</v>
      </c>
    </row>
    <row r="36" spans="1:19" x14ac:dyDescent="0.2">
      <c r="A36">
        <v>193720</v>
      </c>
      <c r="B36" t="s">
        <v>84</v>
      </c>
      <c r="C36" t="s">
        <v>52</v>
      </c>
      <c r="D36">
        <v>5</v>
      </c>
      <c r="E36" t="s">
        <v>85</v>
      </c>
      <c r="F36">
        <v>1.032</v>
      </c>
      <c r="G36" s="8">
        <v>3.8999999999999998E-3</v>
      </c>
      <c r="H36" s="11">
        <v>22.8</v>
      </c>
      <c r="I36" s="11">
        <v>3.9</v>
      </c>
      <c r="J36" s="1">
        <v>45553</v>
      </c>
      <c r="K36">
        <v>40</v>
      </c>
      <c r="L36">
        <v>50</v>
      </c>
      <c r="M36">
        <v>45</v>
      </c>
      <c r="P36">
        <v>0.27</v>
      </c>
      <c r="R36">
        <v>0.03</v>
      </c>
      <c r="S36" s="6">
        <f t="shared" si="3"/>
        <v>9.0000000000000018</v>
      </c>
    </row>
    <row r="37" spans="1:19" x14ac:dyDescent="0.2">
      <c r="A37">
        <v>193721</v>
      </c>
      <c r="B37" t="s">
        <v>86</v>
      </c>
      <c r="C37" t="s">
        <v>52</v>
      </c>
      <c r="D37">
        <v>5</v>
      </c>
      <c r="E37" t="s">
        <v>87</v>
      </c>
      <c r="F37">
        <v>0.88770000000000004</v>
      </c>
      <c r="G37" s="8">
        <v>3.8E-3</v>
      </c>
      <c r="H37" s="11">
        <v>-120.2</v>
      </c>
      <c r="I37" s="11">
        <v>3.8</v>
      </c>
      <c r="J37" s="1">
        <v>45553</v>
      </c>
      <c r="K37">
        <v>50</v>
      </c>
      <c r="L37">
        <v>100</v>
      </c>
      <c r="M37">
        <v>75</v>
      </c>
      <c r="P37">
        <v>0.18</v>
      </c>
      <c r="R37">
        <v>0.01</v>
      </c>
      <c r="S37" s="6">
        <f t="shared" si="3"/>
        <v>18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1285B-B84A-4065-AC38-C0AAFD807B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6C1DC-5B45-4A97-8C6D-5A11FA2D659D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ec3d5568-e1f4-4497-bc9f-65552693db71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0CEB0C-5312-41A5-8D94-156FF5575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5568-e1f4-4497-bc9f-65552693d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IKON-LAHE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Finstad, Kari</cp:lastModifiedBy>
  <cp:revision/>
  <dcterms:created xsi:type="dcterms:W3CDTF">2024-10-02T20:58:33Z</dcterms:created>
  <dcterms:modified xsi:type="dcterms:W3CDTF">2024-11-22T00:02:39Z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